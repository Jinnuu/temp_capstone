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4240" windowHeight="12555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금!$A$2:$G$43</definedName>
    <definedName name="_xlnm._FilterDatabase" localSheetId="0" hidden="1">목!$A$2:$G$43</definedName>
    <definedName name="_xlnm._FilterDatabase" localSheetId="2" hidden="1">토!$A$2:$G$42</definedName>
    <definedName name="_xlnm._FilterDatabase" localSheetId="3" hidden="1">'토 (2)'!$A$2:$G$43</definedName>
  </definedNames>
  <calcPr calcId="125725"/>
</workbook>
</file>

<file path=xl/calcChain.xml><?xml version="1.0" encoding="utf-8"?>
<calcChain xmlns="http://schemas.openxmlformats.org/spreadsheetml/2006/main">
  <c r="F27" i="4"/>
  <c r="F24"/>
  <c r="F16"/>
  <c r="F15"/>
  <c r="F14"/>
  <c r="F43" i="1"/>
  <c r="F15"/>
  <c r="F37" i="5"/>
  <c r="F35" i="4"/>
  <c r="F29" i="1"/>
  <c r="F6" i="6"/>
  <c r="F4" i="5"/>
  <c r="F5" i="4"/>
  <c r="F7" i="1"/>
  <c r="F15" i="6"/>
  <c r="F16"/>
  <c r="F14"/>
  <c r="F13"/>
  <c r="F12"/>
  <c r="F11"/>
  <c r="F10"/>
  <c r="F9"/>
  <c r="F8"/>
  <c r="F7"/>
  <c r="F5"/>
  <c r="F4"/>
  <c r="F3"/>
  <c r="F40" i="5"/>
  <c r="F39"/>
  <c r="F26"/>
  <c r="F25"/>
  <c r="F41"/>
  <c r="F38"/>
  <c r="F36"/>
  <c r="F35"/>
  <c r="F34"/>
  <c r="F33"/>
  <c r="F32"/>
  <c r="F31"/>
  <c r="F30"/>
  <c r="F29"/>
  <c r="F28"/>
  <c r="F24"/>
  <c r="F23"/>
  <c r="F22"/>
  <c r="F21"/>
  <c r="F20"/>
  <c r="F19"/>
  <c r="F14"/>
  <c r="F13"/>
  <c r="F12"/>
  <c r="F11"/>
  <c r="F10"/>
  <c r="F9"/>
  <c r="F8"/>
  <c r="F7"/>
  <c r="F6"/>
  <c r="F5"/>
  <c r="F3"/>
  <c r="F42" i="4"/>
  <c r="F41"/>
  <c r="F40"/>
  <c r="F39"/>
  <c r="F38"/>
  <c r="F37"/>
  <c r="F36"/>
  <c r="F34"/>
  <c r="F33"/>
  <c r="F32"/>
  <c r="F31"/>
  <c r="F30"/>
  <c r="F28"/>
  <c r="F26"/>
  <c r="F25"/>
  <c r="F23"/>
  <c r="F22"/>
  <c r="F21"/>
  <c r="F20"/>
  <c r="F19"/>
  <c r="F17"/>
  <c r="F13"/>
  <c r="F12"/>
  <c r="F11"/>
  <c r="F10"/>
  <c r="F9"/>
  <c r="F8"/>
  <c r="F7"/>
  <c r="F6"/>
  <c r="F4"/>
  <c r="F3"/>
  <c r="F42" i="1"/>
  <c r="F41"/>
  <c r="F40"/>
  <c r="F39"/>
  <c r="F38"/>
  <c r="F37"/>
  <c r="F36"/>
  <c r="F35"/>
  <c r="F34"/>
  <c r="F33"/>
  <c r="F32"/>
  <c r="F31"/>
  <c r="F30"/>
  <c r="F28"/>
  <c r="F26"/>
  <c r="F25"/>
  <c r="F24"/>
  <c r="F23"/>
  <c r="F22"/>
  <c r="F21"/>
  <c r="F20"/>
  <c r="F19"/>
  <c r="F18"/>
  <c r="F16"/>
  <c r="F14"/>
  <c r="F13"/>
  <c r="F12"/>
  <c r="F11"/>
  <c r="F10"/>
  <c r="F9"/>
  <c r="F8"/>
  <c r="F6"/>
  <c r="F5"/>
  <c r="F4"/>
  <c r="F3"/>
</calcChain>
</file>

<file path=xl/sharedStrings.xml><?xml version="1.0" encoding="utf-8"?>
<sst xmlns="http://schemas.openxmlformats.org/spreadsheetml/2006/main" count="247" uniqueCount="149">
  <si>
    <t>날짜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</si>
  <si>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</si>
  <si>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</si>
  <si>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</si>
  <si>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</si>
  <si>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</si>
  <si>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</si>
  <si>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</si>
  <si>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</si>
  <si>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서리태밥</t>
    <phoneticPr fontId="1" type="noConversion"/>
  </si>
  <si>
    <t>서리태</t>
    <phoneticPr fontId="1" type="noConversion"/>
  </si>
  <si>
    <t>무</t>
    <phoneticPr fontId="1" type="noConversion"/>
  </si>
  <si>
    <t>표고버섯캔</t>
    <phoneticPr fontId="1" type="noConversion"/>
  </si>
  <si>
    <t>홍고추</t>
    <phoneticPr fontId="1" type="noConversion"/>
  </si>
  <si>
    <t>대파</t>
    <phoneticPr fontId="1" type="noConversion"/>
  </si>
  <si>
    <t>양파</t>
    <phoneticPr fontId="1" type="noConversion"/>
  </si>
  <si>
    <t>당근</t>
    <phoneticPr fontId="1" type="noConversion"/>
  </si>
  <si>
    <t>시금치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</si>
  <si>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</si>
  <si>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</si>
  <si>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</si>
  <si>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</si>
  <si>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</si>
  <si>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</si>
  <si>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계란</t>
    <phoneticPr fontId="1" type="noConversion"/>
  </si>
  <si>
    <t>해물완자전</t>
    <phoneticPr fontId="1" type="noConversion"/>
  </si>
  <si>
    <t>해물완자</t>
    <phoneticPr fontId="1" type="noConversion"/>
  </si>
  <si>
    <t>달걀</t>
    <phoneticPr fontId="1" type="noConversion"/>
  </si>
  <si>
    <t>마늘쫑무침</t>
    <phoneticPr fontId="1" type="noConversion"/>
  </si>
  <si>
    <t>마늘쫑</t>
    <phoneticPr fontId="1" type="noConversion"/>
  </si>
  <si>
    <t>중식</t>
    <phoneticPr fontId="1" type="noConversion"/>
  </si>
  <si>
    <t>닭갈비덮밥</t>
    <phoneticPr fontId="1" type="noConversion"/>
  </si>
  <si>
    <t>고구마</t>
    <phoneticPr fontId="1" type="noConversion"/>
  </si>
  <si>
    <t>양배추</t>
    <phoneticPr fontId="1" type="noConversion"/>
  </si>
  <si>
    <t>김가루</t>
    <phoneticPr fontId="1" type="noConversion"/>
  </si>
  <si>
    <t>우동맑은국</t>
    <phoneticPr fontId="1" type="noConversion"/>
  </si>
  <si>
    <t>우동소스</t>
    <phoneticPr fontId="1" type="noConversion"/>
  </si>
  <si>
    <t>우동건더기스프</t>
    <phoneticPr fontId="1" type="noConversion"/>
  </si>
  <si>
    <t>대파적당량</t>
    <phoneticPr fontId="1" type="noConversion"/>
  </si>
  <si>
    <t>꽃맛살야채샐러드</t>
    <phoneticPr fontId="1" type="noConversion"/>
  </si>
  <si>
    <t>꽃맛살</t>
    <phoneticPr fontId="1" type="noConversion"/>
  </si>
  <si>
    <t>사과</t>
    <phoneticPr fontId="1" type="noConversion"/>
  </si>
  <si>
    <t>파인애플통조림</t>
    <phoneticPr fontId="1" type="noConversion"/>
  </si>
  <si>
    <t>케찹적당량</t>
    <phoneticPr fontId="1" type="noConversion"/>
  </si>
  <si>
    <t>아일랜드드레싱</t>
    <phoneticPr fontId="1" type="noConversion"/>
  </si>
  <si>
    <t>토</t>
    <phoneticPr fontId="1" type="noConversion"/>
  </si>
  <si>
    <t>현미찹쌀밥</t>
    <phoneticPr fontId="1" type="noConversion"/>
  </si>
  <si>
    <t>된장찌개</t>
    <phoneticPr fontId="1" type="noConversion"/>
  </si>
  <si>
    <t>호박</t>
    <phoneticPr fontId="1" type="noConversion"/>
  </si>
  <si>
    <t>감자</t>
    <phoneticPr fontId="1" type="noConversion"/>
  </si>
  <si>
    <t>김치두루치기</t>
    <phoneticPr fontId="1" type="noConversion"/>
  </si>
  <si>
    <t>돈육불고기용</t>
    <phoneticPr fontId="1" type="noConversion"/>
  </si>
  <si>
    <t>맛김치</t>
    <phoneticPr fontId="1" type="noConversion"/>
  </si>
  <si>
    <t>깍두기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</si>
  <si>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</si>
  <si>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</si>
  <si>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</si>
  <si>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쑥갓</t>
    <phoneticPr fontId="1" type="noConversion"/>
  </si>
  <si>
    <t>적당량</t>
    <phoneticPr fontId="1" type="noConversion"/>
  </si>
  <si>
    <t>검은콩밥</t>
    <phoneticPr fontId="1" type="noConversion"/>
  </si>
  <si>
    <t>검은콩</t>
    <phoneticPr fontId="1" type="noConversion"/>
  </si>
  <si>
    <t>고사리</t>
    <phoneticPr fontId="1" type="noConversion"/>
  </si>
  <si>
    <t>오징어커틀릿</t>
    <phoneticPr fontId="1" type="noConversion"/>
  </si>
  <si>
    <t>식용유</t>
    <phoneticPr fontId="1" type="noConversion"/>
  </si>
  <si>
    <t>타르타르소스</t>
    <phoneticPr fontId="1" type="noConversion"/>
  </si>
  <si>
    <t>사이다</t>
    <phoneticPr fontId="1" type="noConversion"/>
  </si>
  <si>
    <t>숙주맛살무침</t>
    <phoneticPr fontId="1" type="noConversion"/>
  </si>
  <si>
    <t>숙주</t>
    <phoneticPr fontId="1" type="noConversion"/>
  </si>
  <si>
    <t>카레라이스</t>
    <phoneticPr fontId="1" type="noConversion"/>
  </si>
  <si>
    <t>카레가루</t>
    <phoneticPr fontId="1" type="noConversion"/>
  </si>
  <si>
    <t>부추달걀국</t>
    <phoneticPr fontId="1" type="noConversion"/>
  </si>
  <si>
    <t>부추</t>
    <phoneticPr fontId="1" type="noConversion"/>
  </si>
  <si>
    <t>김말이튀김</t>
    <phoneticPr fontId="1" type="noConversion"/>
  </si>
  <si>
    <t>잡채김말이</t>
    <phoneticPr fontId="1" type="noConversion"/>
  </si>
  <si>
    <t>양념간장</t>
    <phoneticPr fontId="1" type="noConversion"/>
  </si>
  <si>
    <t>화인쿨</t>
    <phoneticPr fontId="1" type="noConversion"/>
  </si>
  <si>
    <t>일</t>
    <phoneticPr fontId="1" type="noConversion"/>
  </si>
  <si>
    <t>촉촉한치즈케잌</t>
    <phoneticPr fontId="1" type="noConversion"/>
  </si>
  <si>
    <t>치즈케잌</t>
    <phoneticPr fontId="1" type="noConversion"/>
  </si>
  <si>
    <t>우유</t>
    <phoneticPr fontId="1" type="noConversion"/>
  </si>
  <si>
    <t>쇠고기스프</t>
    <phoneticPr fontId="1" type="noConversion"/>
  </si>
  <si>
    <t>치킨너겟샐러드</t>
    <phoneticPr fontId="1" type="noConversion"/>
  </si>
  <si>
    <t>치킨너겟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</si>
  <si>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</si>
  <si>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</si>
  <si>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</si>
  <si>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</si>
  <si>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수수밥</t>
    <phoneticPr fontId="1" type="noConversion"/>
  </si>
  <si>
    <t>수수</t>
    <phoneticPr fontId="1" type="noConversion"/>
  </si>
  <si>
    <t>팽이된장국</t>
    <phoneticPr fontId="1" type="noConversion"/>
  </si>
  <si>
    <t>팽이</t>
    <phoneticPr fontId="1" type="noConversion"/>
  </si>
  <si>
    <t>오징어초무침</t>
    <phoneticPr fontId="1" type="noConversion"/>
  </si>
  <si>
    <t>오징어채</t>
    <phoneticPr fontId="1" type="noConversion"/>
  </si>
  <si>
    <t>미나리</t>
    <phoneticPr fontId="1" type="noConversion"/>
  </si>
  <si>
    <t>시금치나물</t>
    <phoneticPr fontId="1" type="noConversion"/>
  </si>
  <si>
    <t>김치볶음밥</t>
    <phoneticPr fontId="1" type="noConversion"/>
  </si>
  <si>
    <t>참치캔</t>
    <phoneticPr fontId="1" type="noConversion"/>
  </si>
  <si>
    <t>두부된장찌개</t>
    <phoneticPr fontId="1" type="noConversion"/>
  </si>
  <si>
    <t>두부</t>
    <phoneticPr fontId="1" type="noConversion"/>
  </si>
  <si>
    <t>찐만두/양념간장</t>
    <phoneticPr fontId="1" type="noConversion"/>
  </si>
  <si>
    <t>찐만두</t>
    <phoneticPr fontId="1" type="noConversion"/>
  </si>
  <si>
    <t>요구르트</t>
    <phoneticPr fontId="1" type="noConversion"/>
  </si>
  <si>
    <t>400개</t>
    <phoneticPr fontId="1" type="noConversion"/>
  </si>
  <si>
    <t>두부</t>
    <phoneticPr fontId="1" type="noConversion"/>
  </si>
  <si>
    <t>맛살(마파람)</t>
    <phoneticPr fontId="1" type="noConversion"/>
  </si>
  <si>
    <t>돼지고기후지</t>
    <phoneticPr fontId="1" type="noConversion"/>
  </si>
  <si>
    <t>3kg</t>
    <phoneticPr fontId="1" type="noConversion"/>
  </si>
  <si>
    <t>230개</t>
    <phoneticPr fontId="1" type="noConversion"/>
  </si>
  <si>
    <t>다다기오이</t>
    <phoneticPr fontId="1" type="noConversion"/>
  </si>
  <si>
    <t>20봉 1인당4개씩</t>
    <phoneticPr fontId="1" type="noConversion"/>
  </si>
  <si>
    <t>3판</t>
    <phoneticPr fontId="1" type="noConversion"/>
  </si>
  <si>
    <t>44봉1인당 2개씩</t>
    <phoneticPr fontId="1" type="noConversion"/>
  </si>
  <si>
    <t>쵸핑햄</t>
    <phoneticPr fontId="1" type="noConversion"/>
  </si>
  <si>
    <t>4kg</t>
    <phoneticPr fontId="1" type="noConversion"/>
  </si>
  <si>
    <t xml:space="preserve">양파 </t>
    <phoneticPr fontId="1" type="noConversion"/>
  </si>
  <si>
    <t>브로컬리/노랑파프리카</t>
    <phoneticPr fontId="1" type="noConversion"/>
  </si>
  <si>
    <t>가슴살</t>
    <phoneticPr fontId="1" type="noConversion"/>
  </si>
  <si>
    <t>다리살</t>
    <phoneticPr fontId="1" type="noConversion"/>
  </si>
  <si>
    <t>중식</t>
    <phoneticPr fontId="1" type="noConversion"/>
  </si>
  <si>
    <t>달걀</t>
    <phoneticPr fontId="1" type="noConversion"/>
  </si>
  <si>
    <t>양파</t>
    <phoneticPr fontId="1" type="noConversion"/>
  </si>
  <si>
    <t>11/6(목) 발주서</t>
    <phoneticPr fontId="1" type="noConversion"/>
  </si>
  <si>
    <t>오징어찌개</t>
    <phoneticPr fontId="1" type="noConversion"/>
  </si>
  <si>
    <t>오징어</t>
    <phoneticPr fontId="1" type="noConversion"/>
  </si>
  <si>
    <t>순대볶음</t>
    <phoneticPr fontId="1" type="noConversion"/>
  </si>
  <si>
    <t>순대</t>
    <phoneticPr fontId="1" type="noConversion"/>
  </si>
  <si>
    <t>깻잎순</t>
    <phoneticPr fontId="1" type="noConversion"/>
  </si>
  <si>
    <t>떡국떡</t>
    <phoneticPr fontId="1" type="noConversion"/>
  </si>
  <si>
    <t>들깨가루</t>
    <phoneticPr fontId="1" type="noConversion"/>
  </si>
  <si>
    <t>대파적당량</t>
    <phoneticPr fontId="1" type="noConversion"/>
  </si>
  <si>
    <t>열무나물</t>
    <phoneticPr fontId="1" type="noConversion"/>
  </si>
  <si>
    <t>양파,대파적당량</t>
    <phoneticPr fontId="1" type="noConversion"/>
  </si>
  <si>
    <t>군고구마</t>
    <phoneticPr fontId="1" type="noConversion"/>
  </si>
  <si>
    <t>가쓰오부스</t>
    <phoneticPr fontId="1" type="noConversion"/>
  </si>
  <si>
    <t>11/7(금) 발주서</t>
    <phoneticPr fontId="1" type="noConversion"/>
  </si>
  <si>
    <t>현미찹쌀</t>
    <phoneticPr fontId="1" type="noConversion"/>
  </si>
  <si>
    <t>쇠고기청경채볶음</t>
    <phoneticPr fontId="1" type="noConversion"/>
  </si>
  <si>
    <t>쇠고기우둔</t>
    <phoneticPr fontId="1" type="noConversion"/>
  </si>
  <si>
    <t>청경채</t>
    <phoneticPr fontId="1" type="noConversion"/>
  </si>
  <si>
    <t>빨강파프리카</t>
    <phoneticPr fontId="1" type="noConversion"/>
  </si>
  <si>
    <t>양파</t>
    <phoneticPr fontId="1" type="noConversion"/>
  </si>
  <si>
    <t>흑임자</t>
    <phoneticPr fontId="1" type="noConversion"/>
  </si>
  <si>
    <t>열무김치</t>
    <phoneticPr fontId="1" type="noConversion"/>
  </si>
  <si>
    <t>야채달걀말이</t>
    <phoneticPr fontId="1" type="noConversion"/>
  </si>
  <si>
    <t>당근</t>
    <phoneticPr fontId="1" type="noConversion"/>
  </si>
  <si>
    <t>매콤감자볶음</t>
    <phoneticPr fontId="1" type="noConversion"/>
  </si>
  <si>
    <t>닭개장</t>
    <phoneticPr fontId="1" type="noConversion"/>
  </si>
  <si>
    <t>통닭</t>
    <phoneticPr fontId="1" type="noConversion"/>
  </si>
  <si>
    <t>11/8(토) 발주서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</si>
</sst>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D34" sqref="D34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3" t="s">
        <v>121</v>
      </c>
      <c r="B1" s="23"/>
      <c r="C1" s="23"/>
      <c r="D1" s="23"/>
      <c r="E1" s="23"/>
      <c r="F1" s="23"/>
      <c r="G1" s="23"/>
      <c r="H1" s="23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8">
      <c r="A3" s="5">
        <v>41949</v>
      </c>
      <c r="B3" s="4">
        <v>400</v>
      </c>
      <c r="C3" s="4" t="s">
        <v>9</v>
      </c>
      <c r="D3" s="4" t="s">
        <v>10</v>
      </c>
      <c r="E3" s="6">
        <v>2</v>
      </c>
      <c r="F3" s="7">
        <f t="shared" ref="F3:F16" si="0">(B3*E3)/1000</f>
        <v>0.8</v>
      </c>
      <c r="G3" s="8"/>
    </row>
    <row r="4" spans="1:8">
      <c r="A4" s="4" t="s">
        <v>7</v>
      </c>
      <c r="B4" s="22">
        <v>400</v>
      </c>
      <c r="C4" s="22" t="s">
        <v>122</v>
      </c>
      <c r="D4" s="22" t="s">
        <v>123</v>
      </c>
      <c r="E4" s="6">
        <v>40</v>
      </c>
      <c r="F4" s="7">
        <f t="shared" si="0"/>
        <v>16</v>
      </c>
      <c r="G4" s="8"/>
    </row>
    <row r="5" spans="1:8">
      <c r="A5" s="4" t="s">
        <v>8</v>
      </c>
      <c r="B5" s="22">
        <v>400</v>
      </c>
      <c r="C5" s="4"/>
      <c r="D5" s="22" t="s">
        <v>11</v>
      </c>
      <c r="E5" s="6">
        <v>20</v>
      </c>
      <c r="F5" s="7">
        <f t="shared" si="0"/>
        <v>8</v>
      </c>
      <c r="G5" s="8"/>
    </row>
    <row r="6" spans="1:8">
      <c r="A6" s="8"/>
      <c r="B6" s="22">
        <v>400</v>
      </c>
      <c r="C6" s="4"/>
      <c r="D6" s="22" t="s">
        <v>15</v>
      </c>
      <c r="E6" s="6">
        <v>10</v>
      </c>
      <c r="F6" s="7">
        <f t="shared" si="0"/>
        <v>4</v>
      </c>
      <c r="G6" s="8"/>
    </row>
    <row r="7" spans="1:8">
      <c r="A7" s="8"/>
      <c r="B7" s="22">
        <v>400</v>
      </c>
      <c r="C7" s="17"/>
      <c r="D7" s="22" t="s">
        <v>14</v>
      </c>
      <c r="E7" s="6">
        <v>2</v>
      </c>
      <c r="F7" s="7">
        <f t="shared" si="0"/>
        <v>0.8</v>
      </c>
      <c r="G7" s="8"/>
    </row>
    <row r="8" spans="1:8">
      <c r="A8" s="8"/>
      <c r="B8" s="22">
        <v>400</v>
      </c>
      <c r="C8" s="22" t="s">
        <v>124</v>
      </c>
      <c r="D8" s="22" t="s">
        <v>125</v>
      </c>
      <c r="E8" s="6">
        <v>100</v>
      </c>
      <c r="F8" s="7">
        <f t="shared" si="0"/>
        <v>40</v>
      </c>
      <c r="G8" s="8"/>
    </row>
    <row r="9" spans="1:8">
      <c r="A9" s="8"/>
      <c r="B9" s="22">
        <v>400</v>
      </c>
      <c r="C9" s="4"/>
      <c r="D9" s="22" t="s">
        <v>33</v>
      </c>
      <c r="E9" s="6">
        <v>30</v>
      </c>
      <c r="F9" s="7">
        <f t="shared" si="0"/>
        <v>12</v>
      </c>
      <c r="G9" s="8"/>
    </row>
    <row r="10" spans="1:8">
      <c r="A10" s="8"/>
      <c r="B10" s="22">
        <v>400</v>
      </c>
      <c r="C10" s="4"/>
      <c r="D10" s="22" t="s">
        <v>126</v>
      </c>
      <c r="E10" s="6">
        <v>10</v>
      </c>
      <c r="F10" s="7">
        <f t="shared" si="0"/>
        <v>4</v>
      </c>
      <c r="G10" s="8"/>
    </row>
    <row r="11" spans="1:8">
      <c r="A11" s="8"/>
      <c r="B11" s="22">
        <v>400</v>
      </c>
      <c r="C11" s="4"/>
      <c r="D11" s="22" t="s">
        <v>127</v>
      </c>
      <c r="E11" s="6">
        <v>20</v>
      </c>
      <c r="F11" s="7">
        <f t="shared" si="0"/>
        <v>8</v>
      </c>
      <c r="G11" s="8"/>
    </row>
    <row r="12" spans="1:8">
      <c r="A12" s="8"/>
      <c r="B12" s="22">
        <v>400</v>
      </c>
      <c r="C12" s="4"/>
      <c r="D12" s="22" t="s">
        <v>13</v>
      </c>
      <c r="E12" s="6">
        <v>1</v>
      </c>
      <c r="F12" s="7">
        <f t="shared" si="0"/>
        <v>0.4</v>
      </c>
      <c r="G12" s="8"/>
    </row>
    <row r="13" spans="1:8">
      <c r="A13" s="8"/>
      <c r="B13" s="22">
        <v>400</v>
      </c>
      <c r="C13" s="4"/>
      <c r="D13" s="4" t="s">
        <v>15</v>
      </c>
      <c r="E13" s="6">
        <v>10</v>
      </c>
      <c r="F13" s="7">
        <f t="shared" si="0"/>
        <v>4</v>
      </c>
      <c r="G13" s="8"/>
    </row>
    <row r="14" spans="1:8">
      <c r="A14" s="8"/>
      <c r="B14" s="22">
        <v>400</v>
      </c>
      <c r="C14" s="4"/>
      <c r="D14" s="22" t="s">
        <v>128</v>
      </c>
      <c r="E14" s="6">
        <v>2</v>
      </c>
      <c r="F14" s="7">
        <f t="shared" si="0"/>
        <v>0.8</v>
      </c>
      <c r="G14" s="8" t="s">
        <v>129</v>
      </c>
    </row>
    <row r="15" spans="1:8">
      <c r="A15" s="8"/>
      <c r="B15" s="22">
        <v>400</v>
      </c>
      <c r="C15" s="22" t="s">
        <v>130</v>
      </c>
      <c r="D15" s="22" t="s">
        <v>130</v>
      </c>
      <c r="E15" s="6">
        <v>50</v>
      </c>
      <c r="F15" s="7">
        <f t="shared" si="0"/>
        <v>20</v>
      </c>
      <c r="G15" s="8" t="s">
        <v>131</v>
      </c>
    </row>
    <row r="16" spans="1:8">
      <c r="A16" s="8"/>
      <c r="B16" s="22">
        <v>400</v>
      </c>
      <c r="C16" s="4" t="s">
        <v>18</v>
      </c>
      <c r="D16" s="4" t="s">
        <v>18</v>
      </c>
      <c r="E16" s="6">
        <v>40</v>
      </c>
      <c r="F16" s="7">
        <f t="shared" si="0"/>
        <v>16</v>
      </c>
      <c r="G16" s="8"/>
    </row>
    <row r="17" spans="1:7">
      <c r="A17" s="9"/>
      <c r="B17" s="10"/>
      <c r="C17" s="10"/>
      <c r="D17" s="10"/>
      <c r="E17" s="11"/>
      <c r="F17" s="12"/>
      <c r="G17" s="9"/>
    </row>
    <row r="18" spans="1:7">
      <c r="A18" s="5">
        <v>41950</v>
      </c>
      <c r="B18" s="4">
        <v>180</v>
      </c>
      <c r="C18" s="22" t="s">
        <v>21</v>
      </c>
      <c r="D18" s="4" t="s">
        <v>22</v>
      </c>
      <c r="E18" s="6">
        <v>2</v>
      </c>
      <c r="F18" s="7">
        <f t="shared" ref="F18:F26" si="1">(B18*E18)/1000</f>
        <v>0.36</v>
      </c>
      <c r="G18" s="8"/>
    </row>
    <row r="19" spans="1:7">
      <c r="A19" s="4" t="s">
        <v>19</v>
      </c>
      <c r="B19" s="14">
        <v>180</v>
      </c>
      <c r="C19" s="13"/>
      <c r="D19" s="4" t="s">
        <v>23</v>
      </c>
      <c r="E19" s="6">
        <v>20</v>
      </c>
      <c r="F19" s="7">
        <f t="shared" si="1"/>
        <v>3.6</v>
      </c>
      <c r="G19" s="8"/>
    </row>
    <row r="20" spans="1:7">
      <c r="A20" s="4" t="s">
        <v>20</v>
      </c>
      <c r="B20" s="14">
        <v>180</v>
      </c>
      <c r="C20" s="13"/>
      <c r="D20" s="4" t="s">
        <v>11</v>
      </c>
      <c r="E20" s="6">
        <v>20</v>
      </c>
      <c r="F20" s="7">
        <f t="shared" si="1"/>
        <v>3.6</v>
      </c>
      <c r="G20" s="8"/>
    </row>
    <row r="21" spans="1:7">
      <c r="A21" s="8"/>
      <c r="B21" s="14">
        <v>180</v>
      </c>
      <c r="C21" s="13"/>
      <c r="D21" s="4" t="s">
        <v>13</v>
      </c>
      <c r="E21" s="6">
        <v>1</v>
      </c>
      <c r="F21" s="7">
        <f t="shared" si="1"/>
        <v>0.18</v>
      </c>
      <c r="G21" s="8" t="s">
        <v>38</v>
      </c>
    </row>
    <row r="22" spans="1:7">
      <c r="A22" s="8"/>
      <c r="B22" s="14">
        <v>180</v>
      </c>
      <c r="C22" s="13"/>
      <c r="D22" s="4" t="s">
        <v>24</v>
      </c>
      <c r="E22" s="6">
        <v>10</v>
      </c>
      <c r="F22" s="7">
        <f t="shared" si="1"/>
        <v>1.8</v>
      </c>
      <c r="G22" s="8"/>
    </row>
    <row r="23" spans="1:7">
      <c r="A23" s="8"/>
      <c r="B23" s="14">
        <v>180</v>
      </c>
      <c r="C23" s="4" t="s">
        <v>25</v>
      </c>
      <c r="D23" s="4" t="s">
        <v>26</v>
      </c>
      <c r="E23" s="6">
        <v>100</v>
      </c>
      <c r="F23" s="7">
        <f t="shared" si="1"/>
        <v>18</v>
      </c>
      <c r="G23" s="8"/>
    </row>
    <row r="24" spans="1:7">
      <c r="A24" s="8"/>
      <c r="B24" s="14">
        <v>180</v>
      </c>
      <c r="C24" s="4"/>
      <c r="D24" s="4" t="s">
        <v>27</v>
      </c>
      <c r="E24" s="6">
        <v>20</v>
      </c>
      <c r="F24" s="7">
        <f t="shared" si="1"/>
        <v>3.6</v>
      </c>
      <c r="G24" s="8" t="s">
        <v>43</v>
      </c>
    </row>
    <row r="25" spans="1:7">
      <c r="A25" s="8"/>
      <c r="B25" s="14">
        <v>180</v>
      </c>
      <c r="C25" s="4" t="s">
        <v>28</v>
      </c>
      <c r="D25" s="4" t="s">
        <v>29</v>
      </c>
      <c r="E25" s="6">
        <v>30</v>
      </c>
      <c r="F25" s="7">
        <f t="shared" si="1"/>
        <v>5.4</v>
      </c>
      <c r="G25" s="8"/>
    </row>
    <row r="26" spans="1:7">
      <c r="A26" s="8"/>
      <c r="B26" s="14">
        <v>180</v>
      </c>
      <c r="C26" s="4" t="s">
        <v>18</v>
      </c>
      <c r="D26" s="4" t="s">
        <v>18</v>
      </c>
      <c r="E26" s="6">
        <v>40</v>
      </c>
      <c r="F26" s="7">
        <f t="shared" si="1"/>
        <v>7.2</v>
      </c>
      <c r="G26" s="8"/>
    </row>
    <row r="27" spans="1:7">
      <c r="A27" s="9"/>
      <c r="B27" s="10"/>
      <c r="C27" s="10"/>
      <c r="D27" s="9"/>
      <c r="E27" s="9"/>
      <c r="F27" s="9"/>
      <c r="G27" s="9"/>
    </row>
    <row r="28" spans="1:7">
      <c r="A28" s="5">
        <v>41950</v>
      </c>
      <c r="B28" s="4">
        <v>400</v>
      </c>
      <c r="C28" s="4" t="s">
        <v>31</v>
      </c>
      <c r="D28" s="20" t="s">
        <v>116</v>
      </c>
      <c r="E28" s="6">
        <v>60</v>
      </c>
      <c r="F28" s="7">
        <f t="shared" ref="F28:F43" si="2">(B28*E28)/1000</f>
        <v>24</v>
      </c>
      <c r="G28" s="8"/>
    </row>
    <row r="29" spans="1:7">
      <c r="A29" s="20" t="s">
        <v>19</v>
      </c>
      <c r="B29" s="22">
        <v>400</v>
      </c>
      <c r="C29" s="20"/>
      <c r="D29" s="20" t="s">
        <v>117</v>
      </c>
      <c r="E29" s="6">
        <v>50</v>
      </c>
      <c r="F29" s="7">
        <f t="shared" si="2"/>
        <v>20</v>
      </c>
      <c r="G29" s="8"/>
    </row>
    <row r="30" spans="1:7">
      <c r="A30" s="20" t="s">
        <v>118</v>
      </c>
      <c r="B30" s="22">
        <v>400</v>
      </c>
      <c r="C30" s="4"/>
      <c r="D30" s="4" t="s">
        <v>32</v>
      </c>
      <c r="E30" s="6">
        <v>50</v>
      </c>
      <c r="F30" s="7">
        <f t="shared" si="2"/>
        <v>20</v>
      </c>
      <c r="G30" s="8"/>
    </row>
    <row r="31" spans="1:7">
      <c r="A31" s="4"/>
      <c r="B31" s="22">
        <v>400</v>
      </c>
      <c r="C31" s="4"/>
      <c r="D31" s="19" t="s">
        <v>114</v>
      </c>
      <c r="E31" s="6">
        <v>20</v>
      </c>
      <c r="F31" s="7">
        <f t="shared" si="2"/>
        <v>8</v>
      </c>
      <c r="G31" s="8"/>
    </row>
    <row r="32" spans="1:7">
      <c r="A32" s="8"/>
      <c r="B32" s="22">
        <v>400</v>
      </c>
      <c r="C32" s="4"/>
      <c r="D32" s="4" t="s">
        <v>33</v>
      </c>
      <c r="E32" s="6">
        <v>30</v>
      </c>
      <c r="F32" s="7">
        <f t="shared" si="2"/>
        <v>12</v>
      </c>
      <c r="G32" s="8" t="s">
        <v>38</v>
      </c>
    </row>
    <row r="33" spans="1:7">
      <c r="A33" s="8"/>
      <c r="B33" s="22">
        <v>400</v>
      </c>
      <c r="C33" s="4"/>
      <c r="D33" s="4" t="s">
        <v>34</v>
      </c>
      <c r="E33" s="6">
        <v>2</v>
      </c>
      <c r="F33" s="7">
        <f t="shared" si="2"/>
        <v>0.8</v>
      </c>
      <c r="G33" s="8"/>
    </row>
    <row r="34" spans="1:7">
      <c r="A34" s="8"/>
      <c r="B34" s="22">
        <v>400</v>
      </c>
      <c r="C34" s="4" t="s">
        <v>35</v>
      </c>
      <c r="D34" s="4" t="s">
        <v>36</v>
      </c>
      <c r="E34" s="6">
        <v>2</v>
      </c>
      <c r="F34" s="7">
        <f t="shared" si="2"/>
        <v>0.8</v>
      </c>
      <c r="G34" s="8"/>
    </row>
    <row r="35" spans="1:7">
      <c r="A35" s="8"/>
      <c r="B35" s="22">
        <v>400</v>
      </c>
      <c r="C35" s="4"/>
      <c r="D35" s="22" t="s">
        <v>133</v>
      </c>
      <c r="E35" s="6">
        <v>2</v>
      </c>
      <c r="F35" s="7">
        <f t="shared" si="2"/>
        <v>0.8</v>
      </c>
      <c r="G35" s="8"/>
    </row>
    <row r="36" spans="1:7">
      <c r="A36" s="8"/>
      <c r="B36" s="22">
        <v>400</v>
      </c>
      <c r="C36" s="4"/>
      <c r="D36" s="4" t="s">
        <v>37</v>
      </c>
      <c r="E36" s="6">
        <v>2</v>
      </c>
      <c r="F36" s="7">
        <f t="shared" si="2"/>
        <v>0.8</v>
      </c>
      <c r="G36" s="8"/>
    </row>
    <row r="37" spans="1:7">
      <c r="A37" s="8"/>
      <c r="B37" s="22">
        <v>400</v>
      </c>
      <c r="C37" s="4" t="s">
        <v>39</v>
      </c>
      <c r="D37" s="4" t="s">
        <v>40</v>
      </c>
      <c r="E37" s="6">
        <v>50</v>
      </c>
      <c r="F37" s="7">
        <f t="shared" si="2"/>
        <v>20</v>
      </c>
      <c r="G37" s="8"/>
    </row>
    <row r="38" spans="1:7">
      <c r="A38" s="8"/>
      <c r="B38" s="22">
        <v>400</v>
      </c>
      <c r="C38" s="21"/>
      <c r="D38" s="21" t="s">
        <v>115</v>
      </c>
      <c r="E38" s="6">
        <v>10</v>
      </c>
      <c r="F38" s="7">
        <f t="shared" si="2"/>
        <v>4</v>
      </c>
      <c r="G38" s="8"/>
    </row>
    <row r="39" spans="1:7">
      <c r="A39" s="8"/>
      <c r="B39" s="22">
        <v>400</v>
      </c>
      <c r="C39" s="4"/>
      <c r="D39" s="4" t="s">
        <v>41</v>
      </c>
      <c r="E39" s="6">
        <v>20</v>
      </c>
      <c r="F39" s="7">
        <f t="shared" si="2"/>
        <v>8</v>
      </c>
      <c r="G39" s="8"/>
    </row>
    <row r="40" spans="1:7">
      <c r="A40" s="8"/>
      <c r="B40" s="22">
        <v>400</v>
      </c>
      <c r="C40" s="4"/>
      <c r="D40" s="4" t="s">
        <v>42</v>
      </c>
      <c r="E40" s="6">
        <v>15</v>
      </c>
      <c r="F40" s="7">
        <f t="shared" si="2"/>
        <v>6</v>
      </c>
      <c r="G40" s="8"/>
    </row>
    <row r="41" spans="1:7">
      <c r="A41" s="8"/>
      <c r="B41" s="22">
        <v>400</v>
      </c>
      <c r="C41" s="8"/>
      <c r="D41" s="4" t="s">
        <v>44</v>
      </c>
      <c r="E41" s="6">
        <v>30</v>
      </c>
      <c r="F41" s="7">
        <f t="shared" si="2"/>
        <v>12</v>
      </c>
      <c r="G41" s="8"/>
    </row>
    <row r="42" spans="1:7">
      <c r="A42" s="8"/>
      <c r="B42" s="22">
        <v>400</v>
      </c>
      <c r="C42" s="20" t="s">
        <v>18</v>
      </c>
      <c r="D42" s="20" t="s">
        <v>18</v>
      </c>
      <c r="E42" s="6">
        <v>40</v>
      </c>
      <c r="F42" s="7">
        <f t="shared" si="2"/>
        <v>16</v>
      </c>
      <c r="G42" s="8"/>
    </row>
    <row r="43" spans="1:7">
      <c r="A43" s="8"/>
      <c r="B43" s="22">
        <v>400</v>
      </c>
      <c r="C43" s="22" t="s">
        <v>132</v>
      </c>
      <c r="D43" s="22" t="s">
        <v>132</v>
      </c>
      <c r="E43" s="6">
        <v>100</v>
      </c>
      <c r="F43" s="7">
        <f t="shared" si="2"/>
        <v>40</v>
      </c>
      <c r="G43" s="8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topLeftCell="A19" workbookViewId="0">
      <selection activeCell="C7" sqref="C7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134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41950</v>
      </c>
      <c r="B3" s="4">
        <v>400</v>
      </c>
      <c r="C3" s="4" t="s">
        <v>46</v>
      </c>
      <c r="D3" s="22" t="s">
        <v>135</v>
      </c>
      <c r="E3" s="6">
        <v>2</v>
      </c>
      <c r="F3" s="7">
        <f t="shared" ref="F3:F17" si="0">(B3*E3)/1000</f>
        <v>0.8</v>
      </c>
      <c r="G3" s="8"/>
      <c r="H3" s="8"/>
    </row>
    <row r="4" spans="1:8">
      <c r="A4" s="4" t="s">
        <v>19</v>
      </c>
      <c r="B4" s="22">
        <v>400</v>
      </c>
      <c r="C4" s="4" t="s">
        <v>47</v>
      </c>
      <c r="D4" s="4" t="s">
        <v>12</v>
      </c>
      <c r="E4" s="6">
        <v>20</v>
      </c>
      <c r="F4" s="7">
        <f t="shared" si="0"/>
        <v>8</v>
      </c>
      <c r="G4" s="8"/>
      <c r="H4" s="8"/>
    </row>
    <row r="5" spans="1:8">
      <c r="A5" s="18" t="s">
        <v>8</v>
      </c>
      <c r="B5" s="22">
        <v>400</v>
      </c>
      <c r="C5" s="18"/>
      <c r="D5" s="18" t="s">
        <v>103</v>
      </c>
      <c r="E5" s="6">
        <v>10</v>
      </c>
      <c r="F5" s="7">
        <f t="shared" si="0"/>
        <v>4</v>
      </c>
      <c r="G5" s="8"/>
      <c r="H5" s="8"/>
    </row>
    <row r="6" spans="1:8">
      <c r="A6" s="4"/>
      <c r="B6" s="22">
        <v>400</v>
      </c>
      <c r="C6" s="4"/>
      <c r="D6" s="4" t="s">
        <v>48</v>
      </c>
      <c r="E6" s="6">
        <v>20</v>
      </c>
      <c r="F6" s="7">
        <f t="shared" si="0"/>
        <v>8</v>
      </c>
      <c r="G6" s="8"/>
      <c r="H6" s="8"/>
    </row>
    <row r="7" spans="1:8">
      <c r="A7" s="8"/>
      <c r="B7" s="22">
        <v>400</v>
      </c>
      <c r="C7" s="4"/>
      <c r="D7" s="4" t="s">
        <v>49</v>
      </c>
      <c r="E7" s="6">
        <v>15</v>
      </c>
      <c r="F7" s="7">
        <f t="shared" si="0"/>
        <v>6</v>
      </c>
      <c r="G7" s="8" t="s">
        <v>131</v>
      </c>
      <c r="H7" s="8"/>
    </row>
    <row r="8" spans="1:8">
      <c r="A8" s="8"/>
      <c r="B8" s="22">
        <v>400</v>
      </c>
      <c r="C8" s="4" t="s">
        <v>50</v>
      </c>
      <c r="D8" s="4" t="s">
        <v>51</v>
      </c>
      <c r="E8" s="6">
        <v>120</v>
      </c>
      <c r="F8" s="7">
        <f t="shared" si="0"/>
        <v>48</v>
      </c>
      <c r="G8" s="8"/>
      <c r="H8" s="8"/>
    </row>
    <row r="9" spans="1:8">
      <c r="A9" s="8"/>
      <c r="B9" s="22">
        <v>400</v>
      </c>
      <c r="C9" s="4"/>
      <c r="D9" s="4" t="s">
        <v>52</v>
      </c>
      <c r="E9" s="6">
        <v>60</v>
      </c>
      <c r="F9" s="7">
        <f t="shared" si="0"/>
        <v>24</v>
      </c>
      <c r="G9" s="8"/>
      <c r="H9" s="8"/>
    </row>
    <row r="10" spans="1:8">
      <c r="A10" s="8"/>
      <c r="B10" s="22">
        <v>400</v>
      </c>
      <c r="C10" s="4"/>
      <c r="D10" s="4" t="s">
        <v>15</v>
      </c>
      <c r="E10" s="6">
        <v>10</v>
      </c>
      <c r="F10" s="7">
        <f t="shared" si="0"/>
        <v>4</v>
      </c>
      <c r="G10" s="8"/>
      <c r="H10" s="8"/>
    </row>
    <row r="11" spans="1:8">
      <c r="A11" s="8"/>
      <c r="B11" s="22">
        <v>400</v>
      </c>
      <c r="C11" s="4"/>
      <c r="D11" s="4" t="s">
        <v>14</v>
      </c>
      <c r="E11" s="6">
        <v>2</v>
      </c>
      <c r="F11" s="7">
        <f t="shared" si="0"/>
        <v>0.8</v>
      </c>
      <c r="G11" s="8"/>
      <c r="H11" s="8"/>
    </row>
    <row r="12" spans="1:8">
      <c r="A12" s="8"/>
      <c r="B12" s="22">
        <v>400</v>
      </c>
      <c r="C12" s="22" t="s">
        <v>136</v>
      </c>
      <c r="D12" s="22" t="s">
        <v>137</v>
      </c>
      <c r="E12" s="6">
        <v>10</v>
      </c>
      <c r="F12" s="7">
        <f t="shared" si="0"/>
        <v>4</v>
      </c>
      <c r="G12" s="8"/>
      <c r="H12" s="8"/>
    </row>
    <row r="13" spans="1:8">
      <c r="A13" s="8"/>
      <c r="B13" s="22">
        <v>400</v>
      </c>
      <c r="C13" s="4"/>
      <c r="D13" s="22" t="s">
        <v>138</v>
      </c>
      <c r="E13" s="6">
        <v>50</v>
      </c>
      <c r="F13" s="7">
        <f t="shared" si="0"/>
        <v>20</v>
      </c>
      <c r="G13" s="8"/>
      <c r="H13" s="8"/>
    </row>
    <row r="14" spans="1:8">
      <c r="A14" s="8"/>
      <c r="B14" s="22">
        <v>400</v>
      </c>
      <c r="C14" s="22"/>
      <c r="D14" s="22" t="s">
        <v>139</v>
      </c>
      <c r="E14" s="6">
        <v>5</v>
      </c>
      <c r="F14" s="7">
        <f t="shared" si="0"/>
        <v>2</v>
      </c>
      <c r="G14" s="8"/>
      <c r="H14" s="8"/>
    </row>
    <row r="15" spans="1:8">
      <c r="A15" s="8"/>
      <c r="B15" s="22">
        <v>400</v>
      </c>
      <c r="C15" s="22"/>
      <c r="D15" s="22" t="s">
        <v>140</v>
      </c>
      <c r="E15" s="6">
        <v>5</v>
      </c>
      <c r="F15" s="7">
        <f t="shared" si="0"/>
        <v>2</v>
      </c>
      <c r="G15" s="8"/>
      <c r="H15" s="8"/>
    </row>
    <row r="16" spans="1:8">
      <c r="A16" s="8"/>
      <c r="B16" s="22">
        <v>400</v>
      </c>
      <c r="C16" s="22"/>
      <c r="D16" s="22" t="s">
        <v>141</v>
      </c>
      <c r="E16" s="6">
        <v>1</v>
      </c>
      <c r="F16" s="7">
        <f t="shared" si="0"/>
        <v>0.4</v>
      </c>
      <c r="G16" s="8"/>
      <c r="H16" s="8"/>
    </row>
    <row r="17" spans="1:8">
      <c r="A17" s="8"/>
      <c r="B17" s="22">
        <v>400</v>
      </c>
      <c r="C17" s="22" t="s">
        <v>142</v>
      </c>
      <c r="D17" s="22" t="s">
        <v>142</v>
      </c>
      <c r="E17" s="6">
        <v>40</v>
      </c>
      <c r="F17" s="7">
        <f t="shared" si="0"/>
        <v>16</v>
      </c>
      <c r="G17" s="8"/>
      <c r="H17" s="8"/>
    </row>
    <row r="18" spans="1:8">
      <c r="A18" s="9"/>
      <c r="B18" s="10"/>
      <c r="C18" s="10"/>
      <c r="D18" s="10"/>
      <c r="E18" s="11"/>
      <c r="F18" s="12"/>
      <c r="G18" s="9"/>
      <c r="H18" s="8"/>
    </row>
    <row r="19" spans="1:8">
      <c r="A19" s="5">
        <v>41951</v>
      </c>
      <c r="B19" s="4">
        <v>100</v>
      </c>
      <c r="C19" s="14" t="s">
        <v>54</v>
      </c>
      <c r="D19" s="4" t="s">
        <v>55</v>
      </c>
      <c r="E19" s="6">
        <v>50</v>
      </c>
      <c r="F19" s="7">
        <f t="shared" ref="F19:F28" si="1">(B19*E19)/1000</f>
        <v>5</v>
      </c>
      <c r="G19" s="8"/>
      <c r="H19" s="8"/>
    </row>
    <row r="20" spans="1:8">
      <c r="A20" s="4" t="s">
        <v>45</v>
      </c>
      <c r="B20" s="22">
        <v>100</v>
      </c>
      <c r="C20" s="14"/>
      <c r="D20" s="4" t="s">
        <v>11</v>
      </c>
      <c r="E20" s="6">
        <v>20</v>
      </c>
      <c r="F20" s="7">
        <f t="shared" si="1"/>
        <v>2</v>
      </c>
      <c r="G20" s="8"/>
      <c r="H20" s="8"/>
    </row>
    <row r="21" spans="1:8">
      <c r="A21" s="4" t="s">
        <v>20</v>
      </c>
      <c r="B21" s="22">
        <v>100</v>
      </c>
      <c r="C21" s="14"/>
      <c r="D21" s="4" t="s">
        <v>56</v>
      </c>
      <c r="E21" s="6">
        <v>10</v>
      </c>
      <c r="F21" s="7">
        <f t="shared" si="1"/>
        <v>1</v>
      </c>
      <c r="G21" s="8"/>
      <c r="H21" s="8"/>
    </row>
    <row r="22" spans="1:8">
      <c r="A22" s="8"/>
      <c r="B22" s="22">
        <v>100</v>
      </c>
      <c r="C22" s="14"/>
      <c r="D22" s="4" t="s">
        <v>57</v>
      </c>
      <c r="E22" s="6">
        <v>5</v>
      </c>
      <c r="F22" s="7">
        <f t="shared" si="1"/>
        <v>0.5</v>
      </c>
      <c r="G22" s="8" t="s">
        <v>38</v>
      </c>
      <c r="H22" s="8"/>
    </row>
    <row r="23" spans="1:8">
      <c r="A23" s="8"/>
      <c r="B23" s="22">
        <v>100</v>
      </c>
      <c r="C23" s="22" t="s">
        <v>143</v>
      </c>
      <c r="D23" s="4" t="s">
        <v>27</v>
      </c>
      <c r="E23" s="6">
        <v>100</v>
      </c>
      <c r="F23" s="7">
        <f t="shared" si="1"/>
        <v>10</v>
      </c>
      <c r="G23" s="8"/>
      <c r="H23" s="8"/>
    </row>
    <row r="24" spans="1:8">
      <c r="A24" s="8"/>
      <c r="B24" s="22">
        <v>100</v>
      </c>
      <c r="C24" s="22"/>
      <c r="D24" s="22" t="s">
        <v>144</v>
      </c>
      <c r="E24" s="6">
        <v>2</v>
      </c>
      <c r="F24" s="7">
        <f t="shared" si="1"/>
        <v>0.2</v>
      </c>
      <c r="G24" s="8" t="s">
        <v>38</v>
      </c>
      <c r="H24" s="8"/>
    </row>
    <row r="25" spans="1:8">
      <c r="A25" s="8"/>
      <c r="B25" s="22">
        <v>100</v>
      </c>
      <c r="C25" s="22" t="s">
        <v>145</v>
      </c>
      <c r="D25" s="22" t="s">
        <v>49</v>
      </c>
      <c r="E25" s="6">
        <v>70</v>
      </c>
      <c r="F25" s="7">
        <f t="shared" si="1"/>
        <v>7</v>
      </c>
      <c r="G25" s="8"/>
      <c r="H25" s="8"/>
    </row>
    <row r="26" spans="1:8">
      <c r="A26" s="8"/>
      <c r="B26" s="22">
        <v>100</v>
      </c>
      <c r="C26" s="14"/>
      <c r="D26" s="22" t="s">
        <v>144</v>
      </c>
      <c r="E26" s="6">
        <v>5</v>
      </c>
      <c r="F26" s="7">
        <f t="shared" si="1"/>
        <v>0.5</v>
      </c>
      <c r="G26" s="8" t="s">
        <v>58</v>
      </c>
      <c r="H26" s="8"/>
    </row>
    <row r="27" spans="1:8">
      <c r="A27" s="8"/>
      <c r="B27" s="22">
        <v>100</v>
      </c>
      <c r="C27" s="22"/>
      <c r="D27" s="22" t="s">
        <v>140</v>
      </c>
      <c r="E27" s="6">
        <v>10</v>
      </c>
      <c r="F27" s="7">
        <f t="shared" si="1"/>
        <v>1</v>
      </c>
      <c r="G27" s="8"/>
      <c r="H27" s="8"/>
    </row>
    <row r="28" spans="1:8">
      <c r="A28" s="8"/>
      <c r="B28" s="22">
        <v>100</v>
      </c>
      <c r="C28" s="14" t="s">
        <v>18</v>
      </c>
      <c r="D28" s="4" t="s">
        <v>18</v>
      </c>
      <c r="E28" s="6">
        <v>40</v>
      </c>
      <c r="F28" s="7">
        <f t="shared" si="1"/>
        <v>4</v>
      </c>
      <c r="G28" s="8"/>
      <c r="H28" s="8"/>
    </row>
    <row r="29" spans="1:8">
      <c r="A29" s="9"/>
      <c r="B29" s="10"/>
      <c r="C29" s="10"/>
      <c r="D29" s="9"/>
      <c r="E29" s="9"/>
      <c r="F29" s="9"/>
      <c r="G29" s="9"/>
      <c r="H29" s="8"/>
    </row>
    <row r="30" spans="1:8">
      <c r="A30" s="5">
        <v>41951</v>
      </c>
      <c r="B30" s="4">
        <v>280</v>
      </c>
      <c r="C30" s="4" t="s">
        <v>59</v>
      </c>
      <c r="D30" s="4" t="s">
        <v>60</v>
      </c>
      <c r="E30" s="6">
        <v>2</v>
      </c>
      <c r="F30" s="7">
        <f t="shared" ref="F30:F42" si="2">(B30*E30)/1000</f>
        <v>0.56000000000000005</v>
      </c>
      <c r="G30" s="8"/>
      <c r="H30" s="8"/>
    </row>
    <row r="31" spans="1:8">
      <c r="A31" s="4" t="s">
        <v>45</v>
      </c>
      <c r="B31" s="22">
        <v>280</v>
      </c>
      <c r="C31" s="22" t="s">
        <v>146</v>
      </c>
      <c r="D31" s="22" t="s">
        <v>147</v>
      </c>
      <c r="E31" s="6">
        <v>60</v>
      </c>
      <c r="F31" s="7">
        <f t="shared" si="2"/>
        <v>16.8</v>
      </c>
      <c r="G31" s="8"/>
      <c r="H31" s="8"/>
    </row>
    <row r="32" spans="1:8">
      <c r="A32" s="4" t="s">
        <v>30</v>
      </c>
      <c r="B32" s="22">
        <v>280</v>
      </c>
      <c r="C32" s="4"/>
      <c r="D32" s="22" t="s">
        <v>67</v>
      </c>
      <c r="E32" s="6">
        <v>20</v>
      </c>
      <c r="F32" s="7">
        <f t="shared" si="2"/>
        <v>5.6</v>
      </c>
      <c r="G32" s="8"/>
      <c r="H32" s="8"/>
    </row>
    <row r="33" spans="1:8">
      <c r="A33" s="8"/>
      <c r="B33" s="22">
        <v>280</v>
      </c>
      <c r="C33" s="4"/>
      <c r="D33" s="22" t="s">
        <v>61</v>
      </c>
      <c r="E33" s="6">
        <v>20</v>
      </c>
      <c r="F33" s="7">
        <f t="shared" si="2"/>
        <v>5.6</v>
      </c>
      <c r="G33" s="8"/>
      <c r="H33" s="8"/>
    </row>
    <row r="34" spans="1:8">
      <c r="A34" s="8"/>
      <c r="B34" s="22">
        <v>280</v>
      </c>
      <c r="C34" s="4"/>
      <c r="D34" s="22" t="s">
        <v>11</v>
      </c>
      <c r="E34" s="6">
        <v>20</v>
      </c>
      <c r="F34" s="7">
        <f t="shared" si="2"/>
        <v>5.6</v>
      </c>
      <c r="G34" s="8" t="s">
        <v>38</v>
      </c>
      <c r="H34" s="8"/>
    </row>
    <row r="35" spans="1:8">
      <c r="A35" s="8"/>
      <c r="B35" s="22">
        <v>280</v>
      </c>
      <c r="C35" s="20"/>
      <c r="D35" s="20" t="s">
        <v>119</v>
      </c>
      <c r="E35" s="6">
        <v>5</v>
      </c>
      <c r="F35" s="7">
        <f t="shared" si="2"/>
        <v>1.4</v>
      </c>
      <c r="G35" s="8"/>
      <c r="H35" s="8"/>
    </row>
    <row r="36" spans="1:8">
      <c r="A36" s="8"/>
      <c r="B36" s="22">
        <v>280</v>
      </c>
      <c r="C36" s="4" t="s">
        <v>62</v>
      </c>
      <c r="D36" s="4" t="s">
        <v>62</v>
      </c>
      <c r="E36" s="6">
        <v>80</v>
      </c>
      <c r="F36" s="7">
        <f t="shared" si="2"/>
        <v>22.4</v>
      </c>
      <c r="G36" s="8"/>
      <c r="H36" s="8"/>
    </row>
    <row r="37" spans="1:8">
      <c r="A37" s="8"/>
      <c r="B37" s="22">
        <v>280</v>
      </c>
      <c r="C37" s="4"/>
      <c r="D37" s="4" t="s">
        <v>63</v>
      </c>
      <c r="E37" s="6">
        <v>0</v>
      </c>
      <c r="F37" s="7">
        <f t="shared" si="2"/>
        <v>0</v>
      </c>
      <c r="G37" s="8"/>
      <c r="H37" s="8"/>
    </row>
    <row r="38" spans="1:8">
      <c r="A38" s="8"/>
      <c r="B38" s="22">
        <v>280</v>
      </c>
      <c r="C38" s="4"/>
      <c r="D38" s="4" t="s">
        <v>64</v>
      </c>
      <c r="E38" s="6">
        <v>30</v>
      </c>
      <c r="F38" s="7">
        <f t="shared" si="2"/>
        <v>8.4</v>
      </c>
      <c r="G38" s="8"/>
      <c r="H38" s="8"/>
    </row>
    <row r="39" spans="1:8">
      <c r="A39" s="8"/>
      <c r="B39" s="22">
        <v>280</v>
      </c>
      <c r="C39" s="4"/>
      <c r="D39" s="4" t="s">
        <v>65</v>
      </c>
      <c r="E39" s="6">
        <v>0</v>
      </c>
      <c r="F39" s="7">
        <f t="shared" si="2"/>
        <v>0</v>
      </c>
      <c r="G39" s="8"/>
      <c r="H39" s="8"/>
    </row>
    <row r="40" spans="1:8">
      <c r="A40" s="8"/>
      <c r="B40" s="22">
        <v>280</v>
      </c>
      <c r="C40" s="4" t="s">
        <v>66</v>
      </c>
      <c r="D40" s="4" t="s">
        <v>67</v>
      </c>
      <c r="E40" s="6">
        <v>40</v>
      </c>
      <c r="F40" s="7">
        <f t="shared" si="2"/>
        <v>11.2</v>
      </c>
      <c r="G40" s="8"/>
      <c r="H40" s="8"/>
    </row>
    <row r="41" spans="1:8">
      <c r="A41" s="8"/>
      <c r="B41" s="22">
        <v>280</v>
      </c>
      <c r="C41" s="4"/>
      <c r="D41" s="18" t="s">
        <v>104</v>
      </c>
      <c r="E41" s="6">
        <v>10</v>
      </c>
      <c r="F41" s="7">
        <f t="shared" si="2"/>
        <v>2.8</v>
      </c>
      <c r="G41" s="8"/>
      <c r="H41" s="8"/>
    </row>
    <row r="42" spans="1:8">
      <c r="A42" s="8"/>
      <c r="B42" s="22">
        <v>280</v>
      </c>
      <c r="C42" s="4" t="s">
        <v>18</v>
      </c>
      <c r="D42" s="4" t="s">
        <v>18</v>
      </c>
      <c r="E42" s="6">
        <v>40</v>
      </c>
      <c r="F42" s="7">
        <f t="shared" si="2"/>
        <v>11.2</v>
      </c>
      <c r="G42" s="8"/>
      <c r="H42" s="8"/>
    </row>
    <row r="43" spans="1:8">
      <c r="A43" s="9"/>
      <c r="B43" s="10"/>
      <c r="C43" s="10"/>
      <c r="D43" s="10"/>
      <c r="E43" s="11"/>
      <c r="F43" s="12"/>
      <c r="G43" s="9"/>
      <c r="H43" s="8"/>
    </row>
    <row r="44" spans="1:8">
      <c r="B44" s="1"/>
      <c r="D44" s="1"/>
      <c r="E44" s="2"/>
      <c r="F44" s="3"/>
    </row>
    <row r="45" spans="1:8">
      <c r="B45" s="1"/>
      <c r="D45" s="1"/>
      <c r="E45" s="2"/>
      <c r="F45" s="3"/>
    </row>
    <row r="46" spans="1:8">
      <c r="B46" s="1"/>
      <c r="D46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topLeftCell="A17" workbookViewId="0">
      <selection activeCell="C28" sqref="C28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148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41951</v>
      </c>
      <c r="B3" s="4">
        <v>280</v>
      </c>
      <c r="C3" s="4" t="s">
        <v>68</v>
      </c>
      <c r="D3" s="4" t="s">
        <v>69</v>
      </c>
      <c r="E3" s="6">
        <v>25</v>
      </c>
      <c r="F3" s="7">
        <f t="shared" ref="F3:F14" si="0">(B3*E3)/1000</f>
        <v>7</v>
      </c>
      <c r="G3" s="8"/>
      <c r="H3" s="8"/>
    </row>
    <row r="4" spans="1:8">
      <c r="A4" s="18" t="s">
        <v>45</v>
      </c>
      <c r="B4" s="18">
        <v>280</v>
      </c>
      <c r="C4" s="18"/>
      <c r="D4" s="18" t="s">
        <v>105</v>
      </c>
      <c r="E4" s="6">
        <v>10</v>
      </c>
      <c r="F4" s="7">
        <f t="shared" si="0"/>
        <v>2.8</v>
      </c>
      <c r="G4" s="8" t="s">
        <v>106</v>
      </c>
      <c r="H4" s="8"/>
    </row>
    <row r="5" spans="1:8">
      <c r="A5" s="18" t="s">
        <v>8</v>
      </c>
      <c r="B5" s="16">
        <v>280</v>
      </c>
      <c r="C5" s="4"/>
      <c r="D5" s="4" t="s">
        <v>49</v>
      </c>
      <c r="E5" s="6">
        <v>30</v>
      </c>
      <c r="F5" s="7">
        <f t="shared" si="0"/>
        <v>8.4</v>
      </c>
      <c r="G5" s="8"/>
      <c r="H5" s="8"/>
    </row>
    <row r="6" spans="1:8">
      <c r="A6" s="4"/>
      <c r="B6" s="16">
        <v>280</v>
      </c>
      <c r="C6" s="4"/>
      <c r="D6" s="4" t="s">
        <v>15</v>
      </c>
      <c r="E6" s="6">
        <v>30</v>
      </c>
      <c r="F6" s="7">
        <f t="shared" si="0"/>
        <v>8.4</v>
      </c>
      <c r="G6" s="8"/>
      <c r="H6" s="8"/>
    </row>
    <row r="7" spans="1:8">
      <c r="A7" s="8"/>
      <c r="B7" s="16">
        <v>280</v>
      </c>
      <c r="C7" s="4"/>
      <c r="D7" s="4" t="s">
        <v>16</v>
      </c>
      <c r="E7" s="6">
        <v>30</v>
      </c>
      <c r="F7" s="7">
        <f t="shared" si="0"/>
        <v>8.4</v>
      </c>
      <c r="G7" s="8"/>
      <c r="H7" s="8"/>
    </row>
    <row r="8" spans="1:8">
      <c r="A8" s="8"/>
      <c r="B8" s="16">
        <v>280</v>
      </c>
      <c r="C8" s="4"/>
      <c r="D8" s="4" t="s">
        <v>48</v>
      </c>
      <c r="E8" s="6">
        <v>30</v>
      </c>
      <c r="F8" s="7">
        <f t="shared" si="0"/>
        <v>8.4</v>
      </c>
      <c r="G8" s="8" t="s">
        <v>38</v>
      </c>
      <c r="H8" s="8"/>
    </row>
    <row r="9" spans="1:8">
      <c r="A9" s="8"/>
      <c r="B9" s="16">
        <v>280</v>
      </c>
      <c r="C9" s="4" t="s">
        <v>70</v>
      </c>
      <c r="D9" s="4" t="s">
        <v>71</v>
      </c>
      <c r="E9" s="6">
        <v>5</v>
      </c>
      <c r="F9" s="7">
        <f t="shared" si="0"/>
        <v>1.4</v>
      </c>
      <c r="G9" s="8"/>
      <c r="H9" s="8"/>
    </row>
    <row r="10" spans="1:8">
      <c r="A10" s="8"/>
      <c r="B10" s="16">
        <v>280</v>
      </c>
      <c r="C10" s="4"/>
      <c r="D10" s="4" t="s">
        <v>27</v>
      </c>
      <c r="E10" s="6">
        <v>30</v>
      </c>
      <c r="F10" s="7">
        <f t="shared" si="0"/>
        <v>8.4</v>
      </c>
      <c r="G10" s="8"/>
      <c r="H10" s="8"/>
    </row>
    <row r="11" spans="1:8">
      <c r="A11" s="8"/>
      <c r="B11" s="16">
        <v>280</v>
      </c>
      <c r="C11" s="4" t="s">
        <v>72</v>
      </c>
      <c r="D11" s="4" t="s">
        <v>73</v>
      </c>
      <c r="E11" s="6">
        <v>100</v>
      </c>
      <c r="F11" s="7">
        <f t="shared" si="0"/>
        <v>28</v>
      </c>
      <c r="G11" s="8" t="s">
        <v>109</v>
      </c>
      <c r="H11" s="8"/>
    </row>
    <row r="12" spans="1:8">
      <c r="A12" s="8"/>
      <c r="B12" s="16">
        <v>280</v>
      </c>
      <c r="C12" s="4"/>
      <c r="D12" s="4" t="s">
        <v>63</v>
      </c>
      <c r="E12" s="6">
        <v>0</v>
      </c>
      <c r="F12" s="7">
        <f t="shared" si="0"/>
        <v>0</v>
      </c>
      <c r="G12" s="8"/>
      <c r="H12" s="8"/>
    </row>
    <row r="13" spans="1:8">
      <c r="A13" s="8"/>
      <c r="B13" s="16">
        <v>280</v>
      </c>
      <c r="C13" s="4"/>
      <c r="D13" s="4" t="s">
        <v>74</v>
      </c>
      <c r="E13" s="6">
        <v>0</v>
      </c>
      <c r="F13" s="7">
        <f t="shared" si="0"/>
        <v>0</v>
      </c>
      <c r="G13" s="8"/>
      <c r="H13" s="8"/>
    </row>
    <row r="14" spans="1:8">
      <c r="A14" s="8"/>
      <c r="B14" s="16">
        <v>280</v>
      </c>
      <c r="C14" s="4" t="s">
        <v>18</v>
      </c>
      <c r="D14" s="4" t="s">
        <v>18</v>
      </c>
      <c r="E14" s="6">
        <v>40</v>
      </c>
      <c r="F14" s="7">
        <f t="shared" si="0"/>
        <v>11.2</v>
      </c>
      <c r="G14" s="8"/>
      <c r="H14" s="8"/>
    </row>
    <row r="15" spans="1:8">
      <c r="A15" s="8"/>
      <c r="B15" s="16">
        <v>280</v>
      </c>
      <c r="C15" s="4" t="s">
        <v>75</v>
      </c>
      <c r="D15" s="4" t="s">
        <v>75</v>
      </c>
      <c r="E15" s="6"/>
      <c r="F15" s="7">
        <v>300</v>
      </c>
      <c r="G15" s="8"/>
      <c r="H15" s="8"/>
    </row>
    <row r="16" spans="1:8">
      <c r="A16" s="9"/>
      <c r="B16" s="10"/>
      <c r="C16" s="10"/>
      <c r="D16" s="10"/>
      <c r="E16" s="11"/>
      <c r="F16" s="12"/>
      <c r="G16" s="9"/>
      <c r="H16" s="8"/>
    </row>
    <row r="17" spans="1:8">
      <c r="A17" s="5">
        <v>41952</v>
      </c>
      <c r="B17" s="4">
        <v>200</v>
      </c>
      <c r="C17" s="4" t="s">
        <v>77</v>
      </c>
      <c r="D17" s="4" t="s">
        <v>78</v>
      </c>
      <c r="E17" s="6">
        <v>0</v>
      </c>
      <c r="F17" s="15" t="s">
        <v>107</v>
      </c>
      <c r="G17" s="8"/>
      <c r="H17" s="8"/>
    </row>
    <row r="18" spans="1:8">
      <c r="A18" s="4" t="s">
        <v>76</v>
      </c>
      <c r="B18" s="4">
        <v>200</v>
      </c>
      <c r="C18" s="4" t="s">
        <v>79</v>
      </c>
      <c r="D18" s="4" t="s">
        <v>79</v>
      </c>
      <c r="E18" s="6">
        <v>200</v>
      </c>
      <c r="F18" s="7">
        <v>200</v>
      </c>
      <c r="G18" s="8"/>
      <c r="H18" s="8"/>
    </row>
    <row r="19" spans="1:8">
      <c r="A19" s="4" t="s">
        <v>20</v>
      </c>
      <c r="B19" s="4">
        <v>200</v>
      </c>
      <c r="C19" s="4" t="s">
        <v>80</v>
      </c>
      <c r="D19" s="4" t="s">
        <v>80</v>
      </c>
      <c r="E19" s="6">
        <v>25</v>
      </c>
      <c r="F19" s="7">
        <f t="shared" ref="F19:F26" si="1">(B19*E19)/1000</f>
        <v>5</v>
      </c>
      <c r="G19" s="8"/>
      <c r="H19" s="8"/>
    </row>
    <row r="20" spans="1:8">
      <c r="A20" s="8"/>
      <c r="B20" s="4">
        <v>200</v>
      </c>
      <c r="C20" s="4" t="s">
        <v>81</v>
      </c>
      <c r="D20" s="4" t="s">
        <v>82</v>
      </c>
      <c r="E20" s="6">
        <v>100</v>
      </c>
      <c r="F20" s="7">
        <f t="shared" si="1"/>
        <v>20</v>
      </c>
      <c r="G20" s="8"/>
      <c r="H20" s="8"/>
    </row>
    <row r="21" spans="1:8">
      <c r="A21" s="8"/>
      <c r="B21" s="4">
        <v>200</v>
      </c>
      <c r="C21" s="4"/>
      <c r="D21" s="4" t="s">
        <v>83</v>
      </c>
      <c r="E21" s="6">
        <v>30</v>
      </c>
      <c r="F21" s="7">
        <f t="shared" si="1"/>
        <v>6</v>
      </c>
      <c r="G21" s="8"/>
      <c r="H21" s="8"/>
    </row>
    <row r="22" spans="1:8">
      <c r="A22" s="8"/>
      <c r="B22" s="4">
        <v>200</v>
      </c>
      <c r="C22" s="4"/>
      <c r="D22" s="4" t="s">
        <v>84</v>
      </c>
      <c r="E22" s="6">
        <v>5</v>
      </c>
      <c r="F22" s="7">
        <f t="shared" si="1"/>
        <v>1</v>
      </c>
      <c r="G22" s="8"/>
      <c r="H22" s="8"/>
    </row>
    <row r="23" spans="1:8">
      <c r="A23" s="8"/>
      <c r="B23" s="4">
        <v>200</v>
      </c>
      <c r="C23" s="4"/>
      <c r="D23" s="4" t="s">
        <v>85</v>
      </c>
      <c r="E23" s="6">
        <v>20</v>
      </c>
      <c r="F23" s="7">
        <f t="shared" si="1"/>
        <v>4</v>
      </c>
      <c r="G23" s="8"/>
      <c r="H23" s="8"/>
    </row>
    <row r="24" spans="1:8">
      <c r="A24" s="8"/>
      <c r="B24" s="4">
        <v>200</v>
      </c>
      <c r="C24" s="4"/>
      <c r="D24" s="4" t="s">
        <v>86</v>
      </c>
      <c r="E24" s="6">
        <v>15</v>
      </c>
      <c r="F24" s="7">
        <f t="shared" si="1"/>
        <v>3</v>
      </c>
      <c r="G24" s="8"/>
      <c r="H24" s="8"/>
    </row>
    <row r="25" spans="1:8">
      <c r="A25" s="8"/>
      <c r="B25" s="4">
        <v>200</v>
      </c>
      <c r="C25" s="4"/>
      <c r="D25" s="4" t="s">
        <v>65</v>
      </c>
      <c r="E25" s="6">
        <v>0</v>
      </c>
      <c r="F25" s="7">
        <f t="shared" si="1"/>
        <v>0</v>
      </c>
      <c r="G25" s="8"/>
      <c r="H25" s="8"/>
    </row>
    <row r="26" spans="1:8">
      <c r="A26" s="8"/>
      <c r="B26" s="4">
        <v>200</v>
      </c>
      <c r="C26" s="22" t="s">
        <v>41</v>
      </c>
      <c r="D26" s="22" t="s">
        <v>41</v>
      </c>
      <c r="E26" s="6">
        <v>100</v>
      </c>
      <c r="F26" s="7">
        <f t="shared" si="1"/>
        <v>20</v>
      </c>
      <c r="G26" s="8"/>
      <c r="H26" s="8"/>
    </row>
    <row r="27" spans="1:8">
      <c r="A27" s="9"/>
      <c r="B27" s="10"/>
      <c r="C27" s="10"/>
      <c r="D27" s="9"/>
      <c r="E27" s="9"/>
      <c r="F27" s="9"/>
      <c r="G27" s="9"/>
      <c r="H27" s="8"/>
    </row>
    <row r="28" spans="1:8">
      <c r="A28" s="5">
        <v>41952</v>
      </c>
      <c r="B28" s="4">
        <v>280</v>
      </c>
      <c r="C28" s="4" t="s">
        <v>87</v>
      </c>
      <c r="D28" s="4" t="s">
        <v>88</v>
      </c>
      <c r="E28" s="6">
        <v>2</v>
      </c>
      <c r="F28" s="7">
        <f t="shared" ref="F28:F41" si="2">(B28*E28)/1000</f>
        <v>0.56000000000000005</v>
      </c>
      <c r="G28" s="8"/>
      <c r="H28" s="8"/>
    </row>
    <row r="29" spans="1:8">
      <c r="A29" s="4" t="s">
        <v>76</v>
      </c>
      <c r="B29" s="22">
        <v>280</v>
      </c>
      <c r="C29" s="4" t="s">
        <v>89</v>
      </c>
      <c r="D29" s="4" t="s">
        <v>90</v>
      </c>
      <c r="E29" s="6">
        <v>15</v>
      </c>
      <c r="F29" s="7">
        <f t="shared" si="2"/>
        <v>4.2</v>
      </c>
      <c r="G29" s="8"/>
      <c r="H29" s="8"/>
    </row>
    <row r="30" spans="1:8">
      <c r="A30" s="4" t="s">
        <v>30</v>
      </c>
      <c r="B30" s="22">
        <v>280</v>
      </c>
      <c r="C30" s="4"/>
      <c r="D30" s="4" t="s">
        <v>11</v>
      </c>
      <c r="E30" s="6">
        <v>10</v>
      </c>
      <c r="F30" s="7">
        <f t="shared" si="2"/>
        <v>2.8</v>
      </c>
      <c r="G30" s="8"/>
      <c r="H30" s="8"/>
    </row>
    <row r="31" spans="1:8">
      <c r="A31" s="8"/>
      <c r="B31" s="22">
        <v>280</v>
      </c>
      <c r="C31" s="4"/>
      <c r="D31" s="4" t="s">
        <v>15</v>
      </c>
      <c r="E31" s="6">
        <v>10</v>
      </c>
      <c r="F31" s="7">
        <f t="shared" si="2"/>
        <v>2.8</v>
      </c>
      <c r="G31" s="8"/>
      <c r="H31" s="8"/>
    </row>
    <row r="32" spans="1:8">
      <c r="A32" s="8"/>
      <c r="B32" s="22">
        <v>280</v>
      </c>
      <c r="C32" s="4"/>
      <c r="D32" s="4" t="s">
        <v>14</v>
      </c>
      <c r="E32" s="6">
        <v>2</v>
      </c>
      <c r="F32" s="7">
        <f t="shared" si="2"/>
        <v>0.56000000000000005</v>
      </c>
      <c r="G32" s="8"/>
      <c r="H32" s="8"/>
    </row>
    <row r="33" spans="1:8">
      <c r="A33" s="8"/>
      <c r="B33" s="22">
        <v>280</v>
      </c>
      <c r="C33" s="4" t="s">
        <v>91</v>
      </c>
      <c r="D33" s="4" t="s">
        <v>92</v>
      </c>
      <c r="E33" s="6">
        <v>100</v>
      </c>
      <c r="F33" s="7">
        <f t="shared" si="2"/>
        <v>28</v>
      </c>
      <c r="G33" s="8"/>
      <c r="H33" s="8"/>
    </row>
    <row r="34" spans="1:8">
      <c r="A34" s="8"/>
      <c r="B34" s="22">
        <v>280</v>
      </c>
      <c r="C34" s="4"/>
      <c r="D34" s="18" t="s">
        <v>108</v>
      </c>
      <c r="E34" s="6">
        <v>15</v>
      </c>
      <c r="F34" s="7">
        <f t="shared" si="2"/>
        <v>4.2</v>
      </c>
      <c r="G34" s="8"/>
      <c r="H34" s="8"/>
    </row>
    <row r="35" spans="1:8">
      <c r="A35" s="8"/>
      <c r="B35" s="22">
        <v>280</v>
      </c>
      <c r="C35" s="4"/>
      <c r="D35" s="4" t="s">
        <v>33</v>
      </c>
      <c r="E35" s="6">
        <v>20</v>
      </c>
      <c r="F35" s="7">
        <f t="shared" si="2"/>
        <v>5.6</v>
      </c>
      <c r="G35" s="8"/>
      <c r="H35" s="8"/>
    </row>
    <row r="36" spans="1:8">
      <c r="A36" s="8"/>
      <c r="B36" s="22">
        <v>280</v>
      </c>
      <c r="C36" s="4"/>
      <c r="D36" s="4" t="s">
        <v>93</v>
      </c>
      <c r="E36" s="6">
        <v>10</v>
      </c>
      <c r="F36" s="7">
        <f t="shared" si="2"/>
        <v>2.8</v>
      </c>
      <c r="G36" s="8"/>
      <c r="H36" s="8"/>
    </row>
    <row r="37" spans="1:8">
      <c r="A37" s="8"/>
      <c r="B37" s="22">
        <v>280</v>
      </c>
      <c r="C37" s="20"/>
      <c r="D37" s="20" t="s">
        <v>120</v>
      </c>
      <c r="E37" s="6">
        <v>10</v>
      </c>
      <c r="F37" s="7">
        <f t="shared" si="2"/>
        <v>2.8</v>
      </c>
      <c r="G37" s="8"/>
      <c r="H37" s="8"/>
    </row>
    <row r="38" spans="1:8">
      <c r="A38" s="8"/>
      <c r="B38" s="22">
        <v>280</v>
      </c>
      <c r="C38" s="4"/>
      <c r="D38" s="4" t="s">
        <v>14</v>
      </c>
      <c r="E38" s="6">
        <v>2</v>
      </c>
      <c r="F38" s="7">
        <f t="shared" si="2"/>
        <v>0.56000000000000005</v>
      </c>
      <c r="G38" s="8"/>
      <c r="H38" s="8"/>
    </row>
    <row r="39" spans="1:8">
      <c r="A39" s="8"/>
      <c r="B39" s="22">
        <v>280</v>
      </c>
      <c r="C39" s="4" t="s">
        <v>94</v>
      </c>
      <c r="D39" s="4" t="s">
        <v>17</v>
      </c>
      <c r="E39" s="6">
        <v>40</v>
      </c>
      <c r="F39" s="7">
        <f t="shared" si="2"/>
        <v>11.2</v>
      </c>
      <c r="G39" s="8"/>
      <c r="H39" s="8"/>
    </row>
    <row r="40" spans="1:8">
      <c r="A40" s="8"/>
      <c r="B40" s="22">
        <v>280</v>
      </c>
      <c r="C40" s="4"/>
      <c r="D40" s="4" t="s">
        <v>16</v>
      </c>
      <c r="E40" s="6">
        <v>5</v>
      </c>
      <c r="F40" s="7">
        <f t="shared" si="2"/>
        <v>1.4</v>
      </c>
      <c r="G40" s="8"/>
      <c r="H40" s="8"/>
    </row>
    <row r="41" spans="1:8">
      <c r="A41" s="8"/>
      <c r="B41" s="22">
        <v>280</v>
      </c>
      <c r="C41" s="4" t="s">
        <v>18</v>
      </c>
      <c r="D41" s="4" t="s">
        <v>18</v>
      </c>
      <c r="E41" s="6">
        <v>40</v>
      </c>
      <c r="F41" s="7">
        <f t="shared" si="2"/>
        <v>11.2</v>
      </c>
      <c r="G41" s="8"/>
      <c r="H41" s="8"/>
    </row>
    <row r="42" spans="1:8">
      <c r="A42" s="9"/>
      <c r="B42" s="10"/>
      <c r="C42" s="10"/>
      <c r="D42" s="10"/>
      <c r="E42" s="11"/>
      <c r="F42" s="12"/>
      <c r="G42" s="9"/>
      <c r="H42" s="8"/>
    </row>
    <row r="43" spans="1:8">
      <c r="B43" s="1"/>
      <c r="D43" s="1"/>
      <c r="E43" s="2"/>
      <c r="F43" s="3"/>
    </row>
    <row r="44" spans="1:8">
      <c r="B44" s="1"/>
      <c r="D44" s="1"/>
      <c r="E44" s="2"/>
      <c r="F44" s="3"/>
    </row>
    <row r="45" spans="1:8">
      <c r="B45" s="1"/>
      <c r="D45" s="1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selection activeCell="C4" sqref="C4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148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41952</v>
      </c>
      <c r="B3" s="4">
        <v>380</v>
      </c>
      <c r="C3" s="4" t="s">
        <v>95</v>
      </c>
      <c r="D3" s="4" t="s">
        <v>52</v>
      </c>
      <c r="E3" s="6">
        <v>120</v>
      </c>
      <c r="F3" s="7">
        <f t="shared" ref="F3:F14" si="0">(B3*E3)/1000</f>
        <v>45.6</v>
      </c>
      <c r="G3" s="8"/>
      <c r="H3" s="8"/>
    </row>
    <row r="4" spans="1:8">
      <c r="A4" s="4" t="s">
        <v>76</v>
      </c>
      <c r="B4" s="22">
        <v>380</v>
      </c>
      <c r="C4" s="4"/>
      <c r="D4" s="4" t="s">
        <v>96</v>
      </c>
      <c r="E4" s="6">
        <v>50</v>
      </c>
      <c r="F4" s="7">
        <f t="shared" si="0"/>
        <v>19</v>
      </c>
      <c r="G4" s="8"/>
      <c r="H4" s="8"/>
    </row>
    <row r="5" spans="1:8">
      <c r="A5" s="4" t="s">
        <v>8</v>
      </c>
      <c r="B5" s="22">
        <v>380</v>
      </c>
      <c r="C5" s="4"/>
      <c r="D5" s="4" t="s">
        <v>15</v>
      </c>
      <c r="E5" s="6">
        <v>20</v>
      </c>
      <c r="F5" s="7">
        <f t="shared" si="0"/>
        <v>7.6</v>
      </c>
      <c r="G5" s="8"/>
      <c r="H5" s="8"/>
    </row>
    <row r="6" spans="1:8">
      <c r="A6" s="19"/>
      <c r="B6" s="22">
        <v>380</v>
      </c>
      <c r="C6" s="19"/>
      <c r="D6" s="19" t="s">
        <v>112</v>
      </c>
      <c r="E6" s="6">
        <v>10</v>
      </c>
      <c r="F6" s="7">
        <f t="shared" si="0"/>
        <v>3.8</v>
      </c>
      <c r="G6" s="8" t="s">
        <v>113</v>
      </c>
      <c r="H6" s="8"/>
    </row>
    <row r="7" spans="1:8">
      <c r="A7" s="8"/>
      <c r="B7" s="22">
        <v>380</v>
      </c>
      <c r="C7" s="4"/>
      <c r="D7" s="4" t="s">
        <v>16</v>
      </c>
      <c r="E7" s="6">
        <v>10</v>
      </c>
      <c r="F7" s="7">
        <f t="shared" si="0"/>
        <v>3.8</v>
      </c>
      <c r="G7" s="8"/>
      <c r="H7" s="8"/>
    </row>
    <row r="8" spans="1:8">
      <c r="A8" s="8"/>
      <c r="B8" s="22">
        <v>380</v>
      </c>
      <c r="C8" s="4"/>
      <c r="D8" s="4" t="s">
        <v>34</v>
      </c>
      <c r="E8" s="6">
        <v>3</v>
      </c>
      <c r="F8" s="7">
        <f t="shared" si="0"/>
        <v>1.1399999999999999</v>
      </c>
      <c r="G8" s="8"/>
      <c r="H8" s="8"/>
    </row>
    <row r="9" spans="1:8">
      <c r="A9" s="8"/>
      <c r="B9" s="22">
        <v>380</v>
      </c>
      <c r="C9" s="4" t="s">
        <v>97</v>
      </c>
      <c r="D9" s="4" t="s">
        <v>98</v>
      </c>
      <c r="E9" s="6">
        <v>30</v>
      </c>
      <c r="F9" s="7">
        <f t="shared" si="0"/>
        <v>11.4</v>
      </c>
      <c r="G9" s="8" t="s">
        <v>110</v>
      </c>
      <c r="H9" s="8"/>
    </row>
    <row r="10" spans="1:8">
      <c r="A10" s="8"/>
      <c r="B10" s="22">
        <v>380</v>
      </c>
      <c r="C10" s="4"/>
      <c r="D10" s="4" t="s">
        <v>48</v>
      </c>
      <c r="E10" s="6">
        <v>20</v>
      </c>
      <c r="F10" s="7">
        <f t="shared" si="0"/>
        <v>7.6</v>
      </c>
      <c r="G10" s="8"/>
      <c r="H10" s="8"/>
    </row>
    <row r="11" spans="1:8">
      <c r="A11" s="8"/>
      <c r="B11" s="22">
        <v>380</v>
      </c>
      <c r="C11" s="4"/>
      <c r="D11" s="4" t="s">
        <v>49</v>
      </c>
      <c r="E11" s="6">
        <v>20</v>
      </c>
      <c r="F11" s="7">
        <f t="shared" si="0"/>
        <v>7.6</v>
      </c>
      <c r="G11" s="8"/>
      <c r="H11" s="8"/>
    </row>
    <row r="12" spans="1:8">
      <c r="A12" s="8"/>
      <c r="B12" s="22">
        <v>380</v>
      </c>
      <c r="C12" s="4"/>
      <c r="D12" s="4" t="s">
        <v>15</v>
      </c>
      <c r="E12" s="6">
        <v>15</v>
      </c>
      <c r="F12" s="7">
        <f t="shared" si="0"/>
        <v>5.7</v>
      </c>
      <c r="G12" s="8"/>
      <c r="H12" s="8"/>
    </row>
    <row r="13" spans="1:8">
      <c r="A13" s="8"/>
      <c r="B13" s="22">
        <v>380</v>
      </c>
      <c r="C13" s="4"/>
      <c r="D13" s="4" t="s">
        <v>14</v>
      </c>
      <c r="E13" s="6">
        <v>2</v>
      </c>
      <c r="F13" s="7">
        <f t="shared" si="0"/>
        <v>0.76</v>
      </c>
      <c r="G13" s="8"/>
      <c r="H13" s="8"/>
    </row>
    <row r="14" spans="1:8">
      <c r="A14" s="8"/>
      <c r="B14" s="22">
        <v>380</v>
      </c>
      <c r="C14" s="4" t="s">
        <v>99</v>
      </c>
      <c r="D14" s="4" t="s">
        <v>100</v>
      </c>
      <c r="E14" s="6">
        <v>70</v>
      </c>
      <c r="F14" s="7">
        <f t="shared" si="0"/>
        <v>26.6</v>
      </c>
      <c r="G14" s="8" t="s">
        <v>111</v>
      </c>
      <c r="H14" s="8"/>
    </row>
    <row r="15" spans="1:8">
      <c r="A15" s="8"/>
      <c r="B15" s="22">
        <v>380</v>
      </c>
      <c r="C15" s="4"/>
      <c r="D15" s="4" t="s">
        <v>74</v>
      </c>
      <c r="E15" s="6"/>
      <c r="F15" s="7">
        <f t="shared" ref="F15:F16" si="1">(B15*E15)/1000</f>
        <v>0</v>
      </c>
      <c r="G15" s="8"/>
      <c r="H15" s="8"/>
    </row>
    <row r="16" spans="1:8">
      <c r="A16" s="8"/>
      <c r="B16" s="22">
        <v>380</v>
      </c>
      <c r="C16" s="4" t="s">
        <v>53</v>
      </c>
      <c r="D16" s="4" t="s">
        <v>53</v>
      </c>
      <c r="E16" s="6">
        <v>40</v>
      </c>
      <c r="F16" s="7">
        <f t="shared" si="1"/>
        <v>15.2</v>
      </c>
      <c r="G16" s="8"/>
      <c r="H16" s="8"/>
    </row>
    <row r="17" spans="1:8">
      <c r="A17" s="8"/>
      <c r="B17" s="22">
        <v>380</v>
      </c>
      <c r="C17" s="4" t="s">
        <v>101</v>
      </c>
      <c r="D17" s="4" t="s">
        <v>101</v>
      </c>
      <c r="E17" s="6"/>
      <c r="F17" s="15" t="s">
        <v>102</v>
      </c>
      <c r="G17" s="8"/>
      <c r="H17" s="8"/>
    </row>
    <row r="18" spans="1:8">
      <c r="A18" s="9"/>
      <c r="B18" s="10"/>
      <c r="C18" s="10"/>
      <c r="D18" s="10"/>
      <c r="E18" s="11"/>
      <c r="F18" s="12"/>
      <c r="G18" s="9"/>
      <c r="H18" s="8"/>
    </row>
    <row r="19" spans="1:8">
      <c r="A19" s="5"/>
      <c r="B19" s="4"/>
      <c r="C19" s="4"/>
      <c r="D19" s="4"/>
      <c r="E19" s="6"/>
      <c r="F19" s="7"/>
      <c r="G19" s="8"/>
      <c r="H19" s="8"/>
    </row>
    <row r="20" spans="1:8">
      <c r="A20" s="4"/>
      <c r="B20" s="4"/>
      <c r="C20" s="4"/>
      <c r="D20" s="4"/>
      <c r="E20" s="6"/>
      <c r="F20" s="7"/>
      <c r="G20" s="8"/>
      <c r="H20" s="8"/>
    </row>
    <row r="21" spans="1:8">
      <c r="A21" s="4"/>
      <c r="B21" s="4"/>
      <c r="C21" s="4"/>
      <c r="D21" s="4"/>
      <c r="E21" s="6"/>
      <c r="F21" s="7"/>
      <c r="G21" s="8"/>
      <c r="H21" s="8"/>
    </row>
    <row r="22" spans="1:8">
      <c r="A22" s="8"/>
      <c r="B22" s="4"/>
      <c r="C22" s="4"/>
      <c r="D22" s="4"/>
      <c r="E22" s="6"/>
      <c r="F22" s="7"/>
      <c r="G22" s="8"/>
      <c r="H22" s="8"/>
    </row>
    <row r="23" spans="1:8">
      <c r="A23" s="8"/>
      <c r="B23" s="4"/>
      <c r="C23" s="4"/>
      <c r="D23" s="4"/>
      <c r="E23" s="6"/>
      <c r="F23" s="7"/>
      <c r="G23" s="8"/>
      <c r="H23" s="8"/>
    </row>
    <row r="24" spans="1:8">
      <c r="A24" s="8"/>
      <c r="B24" s="4"/>
      <c r="C24" s="4"/>
      <c r="D24" s="4"/>
      <c r="E24" s="6"/>
      <c r="F24" s="7"/>
      <c r="G24" s="8"/>
      <c r="H24" s="8"/>
    </row>
    <row r="25" spans="1:8">
      <c r="A25" s="8"/>
      <c r="B25" s="4"/>
      <c r="C25" s="4"/>
      <c r="D25" s="4"/>
      <c r="E25" s="6"/>
      <c r="F25" s="7"/>
      <c r="G25" s="8"/>
      <c r="H25" s="8"/>
    </row>
    <row r="26" spans="1:8">
      <c r="A26" s="8"/>
      <c r="B26" s="4"/>
      <c r="C26" s="4"/>
      <c r="D26" s="4"/>
      <c r="E26" s="6"/>
      <c r="F26" s="7"/>
      <c r="G26" s="8"/>
      <c r="H26" s="8"/>
    </row>
    <row r="27" spans="1:8">
      <c r="A27" s="8"/>
      <c r="B27" s="4"/>
      <c r="C27" s="4"/>
      <c r="D27" s="4"/>
      <c r="E27" s="6"/>
      <c r="F27" s="7"/>
      <c r="G27" s="8"/>
      <c r="H27" s="8"/>
    </row>
    <row r="28" spans="1:8">
      <c r="A28" s="8"/>
      <c r="B28" s="4"/>
      <c r="C28" s="4"/>
      <c r="D28" s="4"/>
      <c r="E28" s="6"/>
      <c r="F28" s="7"/>
      <c r="G28" s="8"/>
      <c r="H28" s="8"/>
    </row>
    <row r="29" spans="1:8">
      <c r="A29" s="9"/>
      <c r="B29" s="10"/>
      <c r="C29" s="10"/>
      <c r="D29" s="9"/>
      <c r="E29" s="9"/>
      <c r="F29" s="9"/>
      <c r="G29" s="9"/>
      <c r="H29" s="8"/>
    </row>
    <row r="30" spans="1:8">
      <c r="A30" s="5"/>
      <c r="B30" s="4"/>
      <c r="C30" s="4"/>
      <c r="D30" s="4"/>
      <c r="E30" s="6"/>
      <c r="F30" s="7"/>
      <c r="G30" s="8"/>
      <c r="H30" s="8"/>
    </row>
    <row r="31" spans="1:8">
      <c r="A31" s="4"/>
      <c r="B31" s="4"/>
      <c r="C31" s="4"/>
      <c r="D31" s="4"/>
      <c r="E31" s="6"/>
      <c r="F31" s="7"/>
      <c r="G31" s="8"/>
      <c r="H31" s="8"/>
    </row>
    <row r="32" spans="1:8">
      <c r="A32" s="4"/>
      <c r="B32" s="4"/>
      <c r="C32" s="4"/>
      <c r="D32" s="4"/>
      <c r="E32" s="6"/>
      <c r="F32" s="7"/>
      <c r="G32" s="8"/>
      <c r="H32" s="8"/>
    </row>
    <row r="33" spans="1:8">
      <c r="A33" s="8"/>
      <c r="B33" s="4"/>
      <c r="C33" s="4"/>
      <c r="D33" s="4"/>
      <c r="E33" s="6"/>
      <c r="F33" s="7"/>
      <c r="G33" s="8"/>
      <c r="H33" s="8"/>
    </row>
    <row r="34" spans="1:8">
      <c r="A34" s="8"/>
      <c r="B34" s="4"/>
      <c r="C34" s="4"/>
      <c r="D34" s="4"/>
      <c r="E34" s="6"/>
      <c r="F34" s="7"/>
      <c r="G34" s="8"/>
      <c r="H34" s="8"/>
    </row>
    <row r="35" spans="1:8">
      <c r="A35" s="8"/>
      <c r="B35" s="4"/>
      <c r="C35" s="4"/>
      <c r="D35" s="4"/>
      <c r="E35" s="6"/>
      <c r="F35" s="7"/>
      <c r="G35" s="8"/>
      <c r="H35" s="8"/>
    </row>
    <row r="36" spans="1:8">
      <c r="A36" s="8"/>
      <c r="B36" s="4"/>
      <c r="C36" s="4"/>
      <c r="D36" s="4"/>
      <c r="E36" s="6"/>
      <c r="F36" s="7"/>
      <c r="G36" s="8"/>
      <c r="H36" s="8"/>
    </row>
    <row r="37" spans="1:8">
      <c r="A37" s="8"/>
      <c r="B37" s="4"/>
      <c r="C37" s="4"/>
      <c r="D37" s="4"/>
      <c r="E37" s="6"/>
      <c r="F37" s="7"/>
      <c r="G37" s="8"/>
      <c r="H37" s="8"/>
    </row>
    <row r="38" spans="1:8">
      <c r="A38" s="8"/>
      <c r="B38" s="4"/>
      <c r="C38" s="4"/>
      <c r="D38" s="4"/>
      <c r="E38" s="6"/>
      <c r="F38" s="7"/>
      <c r="G38" s="8"/>
      <c r="H38" s="8"/>
    </row>
    <row r="39" spans="1:8">
      <c r="A39" s="8"/>
      <c r="B39" s="4"/>
      <c r="C39" s="4"/>
      <c r="D39" s="4"/>
      <c r="E39" s="6"/>
      <c r="F39" s="7"/>
      <c r="G39" s="8"/>
      <c r="H39" s="8"/>
    </row>
    <row r="40" spans="1:8">
      <c r="A40" s="8"/>
      <c r="B40" s="4"/>
      <c r="C40" s="4"/>
      <c r="D40" s="4"/>
      <c r="E40" s="6"/>
      <c r="F40" s="7"/>
      <c r="G40" s="8"/>
      <c r="H40" s="8"/>
    </row>
    <row r="41" spans="1:8">
      <c r="A41" s="8"/>
      <c r="B41" s="4"/>
      <c r="C41" s="4"/>
      <c r="D41" s="4"/>
      <c r="E41" s="6"/>
      <c r="F41" s="7"/>
      <c r="G41" s="8"/>
      <c r="H41" s="8"/>
    </row>
    <row r="42" spans="1:8">
      <c r="A42" s="8"/>
      <c r="B42" s="4"/>
      <c r="C42" s="4"/>
      <c r="D42" s="4"/>
      <c r="E42" s="6"/>
      <c r="F42" s="7"/>
      <c r="G42" s="8"/>
      <c r="H42" s="8"/>
    </row>
    <row r="43" spans="1:8">
      <c r="A43" s="9"/>
      <c r="B43" s="10"/>
      <c r="C43" s="10"/>
      <c r="D43" s="10"/>
      <c r="E43" s="11"/>
      <c r="F43" s="12"/>
      <c r="G43" s="9"/>
      <c r="H43" s="8"/>
    </row>
    <row r="44" spans="1:8">
      <c r="B44" s="1"/>
      <c r="D44" s="1"/>
      <c r="E44" s="2"/>
      <c r="F44" s="3"/>
    </row>
    <row r="45" spans="1:8">
      <c r="B45" s="1"/>
      <c r="D45" s="1"/>
      <c r="E45" s="2"/>
      <c r="F45" s="3"/>
    </row>
    <row r="46" spans="1:8">
      <c r="B46" s="1"/>
      <c r="D46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2014-10-30T08:41:10Z</cp:lastPrinted>
  <dcterms:created xsi:type="dcterms:W3CDTF">2014-03-18T02:49:56Z</dcterms:created>
  <dcterms:modified xsi:type="dcterms:W3CDTF">2014-10-30T08:42:47Z</dcterms:modified>
</cp:coreProperties>
</file>