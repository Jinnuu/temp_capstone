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715" windowHeight="9825" activeTab="1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4519"/>
</workbook>
</file>

<file path=xl/calcChain.xml><?xml version="1.0" encoding="utf-8"?>
<calcChain xmlns="http://schemas.openxmlformats.org/spreadsheetml/2006/main">
  <c r="F7" i="4"/>
  <c r="F28" i="6"/>
  <c r="F27"/>
  <c r="F26"/>
  <c r="F21"/>
  <c r="F38" i="5"/>
  <c r="F22"/>
  <c r="F9" i="1"/>
  <c r="F27" i="4"/>
  <c r="F28"/>
  <c r="F10"/>
  <c r="F6" i="1"/>
  <c r="F7"/>
  <c r="F8"/>
  <c r="F42" i="6"/>
  <c r="F41"/>
  <c r="F16"/>
  <c r="F43"/>
  <c r="F40"/>
  <c r="F39"/>
  <c r="F38"/>
  <c r="F37"/>
  <c r="F36"/>
  <c r="F35"/>
  <c r="F34"/>
  <c r="F33"/>
  <c r="F32"/>
  <c r="F31"/>
  <c r="F29"/>
  <c r="F25"/>
  <c r="F24"/>
  <c r="F23"/>
  <c r="F22"/>
  <c r="F20"/>
  <c r="F19"/>
  <c r="F18"/>
  <c r="F15"/>
  <c r="F14"/>
  <c r="F13"/>
  <c r="F12"/>
  <c r="F11"/>
  <c r="F10"/>
  <c r="F9"/>
  <c r="F8"/>
  <c r="F7"/>
  <c r="F6"/>
  <c r="F5"/>
  <c r="F4"/>
  <c r="F3"/>
  <c r="F24" i="5"/>
  <c r="F39"/>
  <c r="F37"/>
  <c r="F36"/>
  <c r="F34"/>
  <c r="F33"/>
  <c r="F32"/>
  <c r="F31"/>
  <c r="F30"/>
  <c r="F29"/>
  <c r="F28"/>
  <c r="F27"/>
  <c r="F26"/>
  <c r="F23"/>
  <c r="F21"/>
  <c r="F20"/>
  <c r="F19"/>
  <c r="F18"/>
  <c r="F17"/>
  <c r="F15"/>
  <c r="F14"/>
  <c r="F13"/>
  <c r="F12"/>
  <c r="F11"/>
  <c r="F10"/>
  <c r="F9"/>
  <c r="F8"/>
  <c r="F7"/>
  <c r="F6"/>
  <c r="F5"/>
  <c r="F4"/>
  <c r="F3"/>
  <c r="F43" i="4"/>
  <c r="F42"/>
  <c r="F41"/>
  <c r="F40"/>
  <c r="F39"/>
  <c r="F29"/>
  <c r="F24"/>
  <c r="F38"/>
  <c r="F37"/>
  <c r="F36"/>
  <c r="F33"/>
  <c r="F34"/>
  <c r="F35"/>
  <c r="F32"/>
  <c r="F17"/>
  <c r="F16"/>
  <c r="F15"/>
  <c r="F26"/>
  <c r="F25"/>
  <c r="F23"/>
  <c r="F22"/>
  <c r="F21"/>
  <c r="F20"/>
  <c r="F19"/>
  <c r="F14"/>
  <c r="F13"/>
  <c r="F12"/>
  <c r="F11"/>
  <c r="F9"/>
  <c r="F8"/>
  <c r="F6"/>
  <c r="F5"/>
  <c r="F4"/>
  <c r="F3"/>
  <c r="F24" i="1"/>
  <c r="F23"/>
  <c r="F21"/>
  <c r="F20"/>
  <c r="F17"/>
  <c r="F18"/>
  <c r="F19"/>
  <c r="F16"/>
  <c r="F14"/>
  <c r="F15"/>
  <c r="F12"/>
  <c r="F11"/>
  <c r="F10"/>
  <c r="F4"/>
  <c r="F5"/>
  <c r="F3"/>
</calcChain>
</file>

<file path=xl/sharedStrings.xml><?xml version="1.0" encoding="utf-8"?>
<sst xmlns="http://schemas.openxmlformats.org/spreadsheetml/2006/main" count="250" uniqueCount="164">
  <si>
    <t>.날짜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</si>
  <si>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</si>
  <si>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</si>
  <si>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</si>
  <si>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</si>
  <si>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</si>
  <si>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</si>
  <si>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</si>
  <si>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</si>
  <si>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도토리묵국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</si>
  <si>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</si>
  <si>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</si>
  <si>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</si>
  <si>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양파</t>
    <phoneticPr fontId="1" type="noConversion"/>
  </si>
  <si>
    <t>배추김치</t>
    <phoneticPr fontId="1" type="noConversion"/>
  </si>
  <si>
    <t>월</t>
    <phoneticPr fontId="1" type="noConversion"/>
  </si>
  <si>
    <t>중식</t>
    <phoneticPr fontId="1" type="noConversion"/>
  </si>
  <si>
    <t>보리밥</t>
    <phoneticPr fontId="1" type="noConversion"/>
  </si>
  <si>
    <t>보리</t>
    <phoneticPr fontId="1" type="noConversion"/>
  </si>
  <si>
    <t>근대된장국</t>
    <phoneticPr fontId="1" type="noConversion"/>
  </si>
  <si>
    <t>근대</t>
    <phoneticPr fontId="1" type="noConversion"/>
  </si>
  <si>
    <t>대파</t>
    <phoneticPr fontId="1" type="noConversion"/>
  </si>
  <si>
    <t>오삼불고기</t>
    <phoneticPr fontId="1" type="noConversion"/>
  </si>
  <si>
    <t>오징어</t>
    <phoneticPr fontId="1" type="noConversion"/>
  </si>
  <si>
    <t>돈후지</t>
    <phoneticPr fontId="1" type="noConversion"/>
  </si>
  <si>
    <t>양배추</t>
    <phoneticPr fontId="1" type="noConversion"/>
  </si>
  <si>
    <t>양배추쌈/쌈장</t>
    <phoneticPr fontId="1" type="noConversion"/>
  </si>
  <si>
    <t>쌈장</t>
    <phoneticPr fontId="1" type="noConversion"/>
  </si>
  <si>
    <t>석식</t>
    <phoneticPr fontId="1" type="noConversion"/>
  </si>
  <si>
    <t>검은콩밥</t>
    <phoneticPr fontId="1" type="noConversion"/>
  </si>
  <si>
    <t>검은콩</t>
    <phoneticPr fontId="1" type="noConversion"/>
  </si>
  <si>
    <t>만두</t>
    <phoneticPr fontId="1" type="noConversion"/>
  </si>
  <si>
    <t>달걀</t>
    <phoneticPr fontId="1" type="noConversion"/>
  </si>
  <si>
    <t>찜용콩나물</t>
    <phoneticPr fontId="1" type="noConversion"/>
  </si>
  <si>
    <t>미나리</t>
    <phoneticPr fontId="1" type="noConversion"/>
  </si>
  <si>
    <t>대파적당량</t>
    <phoneticPr fontId="1" type="noConversion"/>
  </si>
  <si>
    <t>단호박샐러드</t>
    <phoneticPr fontId="1" type="noConversion"/>
  </si>
  <si>
    <t>단호박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</si>
  <si>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</si>
  <si>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</si>
  <si>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</si>
  <si>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</si>
  <si>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</si>
  <si>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</si>
  <si>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무</t>
    <phoneticPr fontId="1" type="noConversion"/>
  </si>
  <si>
    <t>쑥갓</t>
    <phoneticPr fontId="1" type="noConversion"/>
  </si>
  <si>
    <t>두부조림</t>
    <phoneticPr fontId="1" type="noConversion"/>
  </si>
  <si>
    <t>두부</t>
    <phoneticPr fontId="1" type="noConversion"/>
  </si>
  <si>
    <t>화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</si>
  <si>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</si>
  <si>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</si>
  <si>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</si>
  <si>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표고버섯</t>
    <phoneticPr fontId="1" type="noConversion"/>
  </si>
  <si>
    <t>호박</t>
    <phoneticPr fontId="1" type="noConversion"/>
  </si>
  <si>
    <t>실곤약무침</t>
    <phoneticPr fontId="1" type="noConversion"/>
  </si>
  <si>
    <t>실곤약</t>
    <phoneticPr fontId="1" type="noConversion"/>
  </si>
  <si>
    <t>적채</t>
    <phoneticPr fontId="1" type="noConversion"/>
  </si>
  <si>
    <t>대파적당량</t>
    <phoneticPr fontId="1" type="noConversion"/>
  </si>
  <si>
    <t>노랑/빨강파프리카</t>
    <phoneticPr fontId="1" type="noConversion"/>
  </si>
  <si>
    <t>데미커리</t>
    <phoneticPr fontId="1" type="noConversion"/>
  </si>
  <si>
    <t>감자</t>
    <phoneticPr fontId="1" type="noConversion"/>
  </si>
  <si>
    <t>닭가슴살</t>
    <phoneticPr fontId="1" type="noConversion"/>
  </si>
  <si>
    <t>배추김치</t>
    <phoneticPr fontId="1" type="noConversion"/>
  </si>
  <si>
    <t>수</t>
    <phoneticPr fontId="1" type="noConversion"/>
  </si>
  <si>
    <t>부추</t>
    <phoneticPr fontId="1" type="noConversion"/>
  </si>
  <si>
    <t>팽이버섯</t>
    <phoneticPr fontId="1" type="noConversion"/>
  </si>
  <si>
    <t>당근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</si>
  <si>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</si>
  <si>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</si>
  <si>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</si>
  <si>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</si>
  <si>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</si>
  <si>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</si>
  <si>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</si>
  <si>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</si>
  <si>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현미밥</t>
    <phoneticPr fontId="1" type="noConversion"/>
  </si>
  <si>
    <t>현미</t>
    <phoneticPr fontId="1" type="noConversion"/>
  </si>
  <si>
    <t>통가슴살치킨까스</t>
    <phoneticPr fontId="1" type="noConversion"/>
  </si>
  <si>
    <t>돈까스소스</t>
    <phoneticPr fontId="1" type="noConversion"/>
  </si>
  <si>
    <t>양송이슬라이스캔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</si>
  <si>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</si>
  <si>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</si>
  <si>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</si>
  <si>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노랑파프리카</t>
    <phoneticPr fontId="1" type="noConversion"/>
  </si>
  <si>
    <t>목</t>
    <phoneticPr fontId="1" type="noConversion"/>
  </si>
  <si>
    <t>쇠고기무국</t>
    <phoneticPr fontId="1" type="noConversion"/>
  </si>
  <si>
    <t>연두부</t>
    <phoneticPr fontId="1" type="noConversion"/>
  </si>
  <si>
    <t>서리태밥</t>
    <phoneticPr fontId="1" type="noConversion"/>
  </si>
  <si>
    <t>서리태</t>
    <phoneticPr fontId="1" type="noConversion"/>
  </si>
  <si>
    <t>참치고추장찌개</t>
    <phoneticPr fontId="1" type="noConversion"/>
  </si>
  <si>
    <t>참치</t>
    <phoneticPr fontId="1" type="noConversion"/>
  </si>
  <si>
    <t>고추장</t>
    <phoneticPr fontId="1" type="noConversion"/>
  </si>
  <si>
    <t>안동찜닭</t>
    <phoneticPr fontId="1" type="noConversion"/>
  </si>
  <si>
    <t>닭도리육</t>
    <phoneticPr fontId="1" type="noConversion"/>
  </si>
  <si>
    <t>당면</t>
    <phoneticPr fontId="1" type="noConversion"/>
  </si>
  <si>
    <t>청량고추/홍고추 각</t>
    <phoneticPr fontId="1" type="noConversion"/>
  </si>
  <si>
    <t>연두부/양념장</t>
    <phoneticPr fontId="1" type="noConversion"/>
  </si>
  <si>
    <t>브로컬리</t>
    <phoneticPr fontId="1" type="noConversion"/>
  </si>
  <si>
    <t>브로콜리파프리카초회/초장</t>
    <phoneticPr fontId="1" type="noConversion"/>
  </si>
  <si>
    <t>빨강/노랑파프리카 각</t>
    <phoneticPr fontId="1" type="noConversion"/>
  </si>
  <si>
    <t>양파/당근 각</t>
    <phoneticPr fontId="1" type="noConversion"/>
  </si>
  <si>
    <t>11/16 (일)발주예정서</t>
    <phoneticPr fontId="1" type="noConversion"/>
  </si>
  <si>
    <t>계란찜</t>
    <phoneticPr fontId="1" type="noConversion"/>
  </si>
  <si>
    <t>달걀</t>
    <phoneticPr fontId="1" type="noConversion"/>
  </si>
  <si>
    <t>당근</t>
    <phoneticPr fontId="1" type="noConversion"/>
  </si>
  <si>
    <t>새우젓</t>
    <phoneticPr fontId="1" type="noConversion"/>
  </si>
  <si>
    <t>고추장멸치볶음</t>
    <phoneticPr fontId="1" type="noConversion"/>
  </si>
  <si>
    <t>귤</t>
    <phoneticPr fontId="1" type="noConversion"/>
  </si>
  <si>
    <t>11/17 (월)발주예정서</t>
    <phoneticPr fontId="1" type="noConversion"/>
  </si>
  <si>
    <t>떡만두국</t>
    <phoneticPr fontId="1" type="noConversion"/>
  </si>
  <si>
    <t>해물찜</t>
    <phoneticPr fontId="1" type="noConversion"/>
  </si>
  <si>
    <t>코다리</t>
    <phoneticPr fontId="1" type="noConversion"/>
  </si>
  <si>
    <t>모듬해물</t>
    <phoneticPr fontId="1" type="noConversion"/>
  </si>
  <si>
    <t>표고버섯무나물</t>
    <phoneticPr fontId="1" type="noConversion"/>
  </si>
  <si>
    <t>무</t>
    <phoneticPr fontId="1" type="noConversion"/>
  </si>
  <si>
    <t>들깨가루</t>
    <phoneticPr fontId="1" type="noConversion"/>
  </si>
  <si>
    <t>플레인요구르트</t>
    <phoneticPr fontId="1" type="noConversion"/>
  </si>
  <si>
    <t>고추장찌개</t>
    <phoneticPr fontId="1" type="noConversion"/>
  </si>
  <si>
    <t>닭볶음탕</t>
    <phoneticPr fontId="1" type="noConversion"/>
  </si>
  <si>
    <t>대파적당량</t>
    <phoneticPr fontId="1" type="noConversion"/>
  </si>
  <si>
    <t>닭토막</t>
    <phoneticPr fontId="1" type="noConversion"/>
  </si>
  <si>
    <t>당근/양파 각</t>
    <phoneticPr fontId="1" type="noConversion"/>
  </si>
  <si>
    <t>건멸치</t>
    <phoneticPr fontId="1" type="noConversion"/>
  </si>
  <si>
    <t>3박스</t>
    <phoneticPr fontId="1" type="noConversion"/>
  </si>
  <si>
    <t>치킨카레라이스</t>
    <phoneticPr fontId="1" type="noConversion"/>
  </si>
  <si>
    <t>11/18 (화)발주예정서</t>
    <phoneticPr fontId="1" type="noConversion"/>
  </si>
  <si>
    <t>부들어묵국</t>
    <phoneticPr fontId="1" type="noConversion"/>
  </si>
  <si>
    <t>부들어묵</t>
    <phoneticPr fontId="1" type="noConversion"/>
  </si>
  <si>
    <t>사각어묵</t>
    <phoneticPr fontId="1" type="noConversion"/>
  </si>
  <si>
    <t>매콤김말이</t>
    <phoneticPr fontId="1" type="noConversion"/>
  </si>
  <si>
    <t>김말이</t>
    <phoneticPr fontId="1" type="noConversion"/>
  </si>
  <si>
    <t>식용유</t>
    <phoneticPr fontId="1" type="noConversion"/>
  </si>
  <si>
    <t>간장양념</t>
    <phoneticPr fontId="1" type="noConversion"/>
  </si>
  <si>
    <t>우양지</t>
    <phoneticPr fontId="1" type="noConversion"/>
  </si>
  <si>
    <t>대파적당량</t>
    <phoneticPr fontId="1" type="noConversion"/>
  </si>
  <si>
    <t>양념장</t>
    <phoneticPr fontId="1" type="noConversion"/>
  </si>
  <si>
    <t>오이양파무침</t>
    <phoneticPr fontId="1" type="noConversion"/>
  </si>
  <si>
    <t>오이</t>
    <phoneticPr fontId="1" type="noConversion"/>
  </si>
  <si>
    <t>호박볶음</t>
    <phoneticPr fontId="1" type="noConversion"/>
  </si>
  <si>
    <t>홍고추</t>
    <phoneticPr fontId="1" type="noConversion"/>
  </si>
  <si>
    <t>열무김치</t>
    <phoneticPr fontId="1" type="noConversion"/>
  </si>
  <si>
    <t>11/19 (수)발주예정서</t>
    <phoneticPr fontId="1" type="noConversion"/>
  </si>
  <si>
    <t>미역장국</t>
    <phoneticPr fontId="1" type="noConversion"/>
  </si>
  <si>
    <t>건미역</t>
    <phoneticPr fontId="1" type="noConversion"/>
  </si>
  <si>
    <t>양배추샐러드</t>
    <phoneticPr fontId="1" type="noConversion"/>
  </si>
  <si>
    <t>키위드레싱</t>
    <phoneticPr fontId="1" type="noConversion"/>
  </si>
  <si>
    <t>순두부찌개</t>
    <phoneticPr fontId="1" type="noConversion"/>
  </si>
  <si>
    <t>순두부</t>
    <phoneticPr fontId="1" type="noConversion"/>
  </si>
  <si>
    <t>조갯살</t>
    <phoneticPr fontId="1" type="noConversion"/>
  </si>
  <si>
    <t>매콤어묵볶음</t>
    <phoneticPr fontId="1" type="noConversion"/>
  </si>
  <si>
    <t>바른선오색미니어묵</t>
    <phoneticPr fontId="1" type="noConversion"/>
  </si>
  <si>
    <t>볼어묵</t>
    <phoneticPr fontId="1" type="noConversion"/>
  </si>
  <si>
    <t>피망</t>
    <phoneticPr fontId="1" type="noConversion"/>
  </si>
  <si>
    <t>미역줄기무침</t>
    <phoneticPr fontId="1" type="noConversion"/>
  </si>
  <si>
    <t>미역줄기</t>
    <phoneticPr fontId="1" type="noConversion"/>
  </si>
  <si>
    <t>당근/양파 각</t>
    <phoneticPr fontId="1" type="noConversion"/>
  </si>
  <si>
    <t>감자/양파 각</t>
    <phoneticPr fontId="1" type="noConversion"/>
  </si>
  <si>
    <t>양지</t>
    <phoneticPr fontId="1" type="noConversion"/>
  </si>
  <si>
    <t>호박/양파 각</t>
    <phoneticPr fontId="1" type="noConversion"/>
  </si>
  <si>
    <t>쇠고기양지</t>
    <phoneticPr fontId="1" type="noConversion"/>
  </si>
  <si>
    <t>264개</t>
    <phoneticPr fontId="1" type="noConversion"/>
  </si>
  <si>
    <t>느타리버섯/표고버섯/팽이버섯 각</t>
    <phoneticPr fontId="1" type="noConversion"/>
  </si>
  <si>
    <t>양배추/오이 각</t>
    <phoneticPr fontId="1" type="noConversion"/>
  </si>
  <si>
    <t>적채/양파 각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</si>
</sst>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0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opLeftCell="A9" workbookViewId="0">
      <selection activeCell="F23" sqref="F23"/>
    </sheetView>
  </sheetViews>
  <sheetFormatPr defaultRowHeight="16.5"/>
  <cols>
    <col min="1" max="1" width="6.25" customWidth="1"/>
    <col min="2" max="2" width="6.5" customWidth="1"/>
    <col min="3" max="3" width="13.625" customWidth="1"/>
    <col min="4" max="4" width="15.875" customWidth="1"/>
    <col min="7" max="7" width="18.75" customWidth="1"/>
    <col min="8" max="8" width="0.25" customWidth="1"/>
  </cols>
  <sheetData>
    <row r="1" spans="1:8" ht="25.5" customHeight="1">
      <c r="A1" s="13" t="s">
        <v>101</v>
      </c>
      <c r="B1" s="14"/>
      <c r="C1" s="14"/>
      <c r="D1" s="14"/>
      <c r="E1" s="14"/>
      <c r="F1" s="14"/>
      <c r="G1" s="14"/>
      <c r="H1" s="14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41960</v>
      </c>
      <c r="B3" s="5">
        <v>200</v>
      </c>
      <c r="C3" s="5" t="s">
        <v>9</v>
      </c>
      <c r="D3" s="5" t="s">
        <v>10</v>
      </c>
      <c r="E3" s="3">
        <v>50</v>
      </c>
      <c r="F3" s="4">
        <f>(B3*E3)/1000</f>
        <v>10</v>
      </c>
      <c r="G3" s="1"/>
      <c r="H3" s="1"/>
    </row>
    <row r="4" spans="1:8">
      <c r="A4" s="5" t="s">
        <v>7</v>
      </c>
      <c r="B4" s="5">
        <v>200</v>
      </c>
      <c r="C4" s="5"/>
      <c r="D4" s="5" t="s">
        <v>11</v>
      </c>
      <c r="E4" s="3">
        <v>25</v>
      </c>
      <c r="F4" s="4">
        <f t="shared" ref="F4:F19" si="0">(B4*E4)/1000</f>
        <v>5</v>
      </c>
      <c r="G4" s="1"/>
      <c r="H4" s="1"/>
    </row>
    <row r="5" spans="1:8">
      <c r="A5" s="5" t="s">
        <v>8</v>
      </c>
      <c r="B5" s="5">
        <v>200</v>
      </c>
      <c r="C5" s="5"/>
      <c r="D5" s="5" t="s">
        <v>12</v>
      </c>
      <c r="E5" s="3">
        <v>5</v>
      </c>
      <c r="F5" s="4">
        <f t="shared" si="0"/>
        <v>1</v>
      </c>
      <c r="G5" s="1"/>
      <c r="H5" s="1"/>
    </row>
    <row r="6" spans="1:8">
      <c r="A6" s="5"/>
      <c r="B6" s="5">
        <v>200</v>
      </c>
      <c r="C6" s="5" t="s">
        <v>102</v>
      </c>
      <c r="D6" s="5" t="s">
        <v>103</v>
      </c>
      <c r="E6" s="3">
        <v>100</v>
      </c>
      <c r="F6" s="4">
        <f t="shared" si="0"/>
        <v>20</v>
      </c>
      <c r="G6" s="1"/>
      <c r="H6" s="1"/>
    </row>
    <row r="7" spans="1:8">
      <c r="A7" s="5"/>
      <c r="B7" s="5">
        <v>200</v>
      </c>
      <c r="C7" s="5"/>
      <c r="D7" s="5" t="s">
        <v>104</v>
      </c>
      <c r="E7" s="3">
        <v>5</v>
      </c>
      <c r="F7" s="4">
        <f t="shared" si="0"/>
        <v>1</v>
      </c>
      <c r="G7" s="1"/>
      <c r="H7" s="1"/>
    </row>
    <row r="8" spans="1:8">
      <c r="A8" s="5"/>
      <c r="B8" s="5">
        <v>200</v>
      </c>
      <c r="C8" s="5"/>
      <c r="D8" s="5" t="s">
        <v>64</v>
      </c>
      <c r="E8" s="3">
        <v>5</v>
      </c>
      <c r="F8" s="4">
        <f t="shared" si="0"/>
        <v>1</v>
      </c>
      <c r="G8" s="1"/>
      <c r="H8" s="1"/>
    </row>
    <row r="9" spans="1:8">
      <c r="A9" s="5"/>
      <c r="B9" s="5">
        <v>200</v>
      </c>
      <c r="C9" s="5"/>
      <c r="D9" s="5" t="s">
        <v>105</v>
      </c>
      <c r="E9" s="3">
        <v>0</v>
      </c>
      <c r="F9" s="4">
        <f t="shared" si="0"/>
        <v>0</v>
      </c>
      <c r="G9" s="1"/>
      <c r="H9" s="1"/>
    </row>
    <row r="10" spans="1:8">
      <c r="A10" s="5"/>
      <c r="B10" s="5">
        <v>200</v>
      </c>
      <c r="C10" s="5" t="s">
        <v>106</v>
      </c>
      <c r="D10" s="5" t="s">
        <v>122</v>
      </c>
      <c r="E10" s="3">
        <v>10</v>
      </c>
      <c r="F10" s="4">
        <f t="shared" si="0"/>
        <v>2</v>
      </c>
      <c r="G10" s="1"/>
      <c r="H10" s="1"/>
    </row>
    <row r="11" spans="1:8">
      <c r="A11" s="5"/>
      <c r="B11" s="5">
        <v>200</v>
      </c>
      <c r="C11" s="5" t="s">
        <v>14</v>
      </c>
      <c r="D11" s="5" t="s">
        <v>14</v>
      </c>
      <c r="E11" s="3">
        <v>40</v>
      </c>
      <c r="F11" s="4">
        <f t="shared" si="0"/>
        <v>8</v>
      </c>
      <c r="G11" s="1"/>
      <c r="H11" s="1"/>
    </row>
    <row r="12" spans="1:8">
      <c r="A12" s="5"/>
      <c r="B12" s="5">
        <v>200</v>
      </c>
      <c r="C12" s="5" t="s">
        <v>107</v>
      </c>
      <c r="D12" s="5" t="s">
        <v>107</v>
      </c>
      <c r="E12" s="3">
        <v>100</v>
      </c>
      <c r="F12" s="4">
        <f t="shared" si="0"/>
        <v>20</v>
      </c>
      <c r="G12" s="1" t="s">
        <v>123</v>
      </c>
      <c r="H12" s="1"/>
    </row>
    <row r="13" spans="1:8">
      <c r="A13" s="8"/>
      <c r="B13" s="8"/>
      <c r="C13" s="8"/>
      <c r="D13" s="8"/>
      <c r="E13" s="6"/>
      <c r="F13" s="7"/>
      <c r="G13" s="6"/>
      <c r="H13" s="1"/>
    </row>
    <row r="14" spans="1:8">
      <c r="A14" s="2">
        <v>41960</v>
      </c>
      <c r="B14" s="5">
        <v>480</v>
      </c>
      <c r="C14" s="5" t="s">
        <v>17</v>
      </c>
      <c r="D14" s="5" t="s">
        <v>18</v>
      </c>
      <c r="E14" s="3">
        <v>2</v>
      </c>
      <c r="F14" s="4">
        <f t="shared" si="0"/>
        <v>0.96</v>
      </c>
      <c r="G14" s="1"/>
      <c r="H14" s="1"/>
    </row>
    <row r="15" spans="1:8">
      <c r="A15" s="5" t="s">
        <v>15</v>
      </c>
      <c r="B15" s="5">
        <v>480</v>
      </c>
      <c r="C15" s="5" t="s">
        <v>19</v>
      </c>
      <c r="D15" s="5" t="s">
        <v>20</v>
      </c>
      <c r="E15" s="3">
        <v>25</v>
      </c>
      <c r="F15" s="4">
        <f t="shared" si="0"/>
        <v>12</v>
      </c>
      <c r="G15" s="1"/>
      <c r="H15" s="1"/>
    </row>
    <row r="16" spans="1:8">
      <c r="A16" s="5" t="s">
        <v>16</v>
      </c>
      <c r="B16" s="5">
        <v>480</v>
      </c>
      <c r="C16" s="5"/>
      <c r="D16" s="5" t="s">
        <v>13</v>
      </c>
      <c r="E16" s="3">
        <v>5</v>
      </c>
      <c r="F16" s="4">
        <f t="shared" si="0"/>
        <v>2.4</v>
      </c>
      <c r="G16" s="1"/>
      <c r="H16" s="1"/>
    </row>
    <row r="17" spans="1:8">
      <c r="A17" s="5"/>
      <c r="B17" s="5">
        <v>480</v>
      </c>
      <c r="C17" s="5"/>
      <c r="D17" s="5" t="s">
        <v>21</v>
      </c>
      <c r="E17" s="3">
        <v>2</v>
      </c>
      <c r="F17" s="4">
        <f t="shared" si="0"/>
        <v>0.96</v>
      </c>
      <c r="G17" s="1"/>
      <c r="H17" s="1"/>
    </row>
    <row r="18" spans="1:8">
      <c r="A18" s="5"/>
      <c r="B18" s="5">
        <v>480</v>
      </c>
      <c r="C18" s="5" t="s">
        <v>22</v>
      </c>
      <c r="D18" s="5" t="s">
        <v>23</v>
      </c>
      <c r="E18" s="3">
        <v>40</v>
      </c>
      <c r="F18" s="4">
        <f t="shared" si="0"/>
        <v>19.2</v>
      </c>
      <c r="G18" s="1"/>
      <c r="H18" s="1"/>
    </row>
    <row r="19" spans="1:8">
      <c r="A19" s="5"/>
      <c r="B19" s="5">
        <v>480</v>
      </c>
      <c r="C19" s="5"/>
      <c r="D19" s="5" t="s">
        <v>24</v>
      </c>
      <c r="E19" s="3">
        <v>130</v>
      </c>
      <c r="F19" s="4">
        <f t="shared" si="0"/>
        <v>62.4</v>
      </c>
      <c r="G19" s="1"/>
      <c r="H19" s="1"/>
    </row>
    <row r="20" spans="1:8">
      <c r="A20" s="5"/>
      <c r="B20" s="5">
        <v>480</v>
      </c>
      <c r="C20" s="5"/>
      <c r="D20" s="5" t="s">
        <v>13</v>
      </c>
      <c r="E20" s="3">
        <v>20</v>
      </c>
      <c r="F20" s="4">
        <f>(B18*E20)/1000</f>
        <v>9.6</v>
      </c>
      <c r="G20" s="1"/>
      <c r="H20" s="1"/>
    </row>
    <row r="21" spans="1:8">
      <c r="A21" s="5"/>
      <c r="B21" s="5">
        <v>480</v>
      </c>
      <c r="C21" s="5"/>
      <c r="D21" s="5" t="s">
        <v>21</v>
      </c>
      <c r="E21" s="3">
        <v>2</v>
      </c>
      <c r="F21" s="4">
        <f>(B19*E21)/1000</f>
        <v>0.96</v>
      </c>
      <c r="G21" s="1"/>
      <c r="H21" s="1"/>
    </row>
    <row r="22" spans="1:8">
      <c r="A22" s="5"/>
      <c r="B22" s="5">
        <v>480</v>
      </c>
      <c r="C22" s="5" t="s">
        <v>26</v>
      </c>
      <c r="D22" s="5" t="s">
        <v>25</v>
      </c>
      <c r="E22" s="3">
        <v>100</v>
      </c>
      <c r="F22" s="4">
        <v>50</v>
      </c>
      <c r="G22" s="1"/>
      <c r="H22" s="1"/>
    </row>
    <row r="23" spans="1:8">
      <c r="A23" s="5"/>
      <c r="B23" s="5">
        <v>480</v>
      </c>
      <c r="C23" s="5"/>
      <c r="D23" s="5" t="s">
        <v>27</v>
      </c>
      <c r="E23" s="3"/>
      <c r="F23" s="4">
        <f t="shared" ref="F23:F24" si="1">(B21*E23)/1000</f>
        <v>0</v>
      </c>
      <c r="G23" s="1"/>
      <c r="H23" s="1"/>
    </row>
    <row r="24" spans="1:8">
      <c r="A24" s="5"/>
      <c r="B24" s="5">
        <v>480</v>
      </c>
      <c r="C24" s="5" t="s">
        <v>14</v>
      </c>
      <c r="D24" s="5" t="s">
        <v>14</v>
      </c>
      <c r="E24" s="3">
        <v>40</v>
      </c>
      <c r="F24" s="4">
        <f t="shared" si="1"/>
        <v>19.2</v>
      </c>
      <c r="G24" s="1"/>
      <c r="H24" s="1"/>
    </row>
    <row r="25" spans="1:8">
      <c r="A25" s="8"/>
      <c r="B25" s="8"/>
      <c r="C25" s="8"/>
      <c r="D25" s="8"/>
      <c r="E25" s="6"/>
      <c r="F25" s="6"/>
      <c r="G25" s="6"/>
      <c r="H25" s="1"/>
    </row>
    <row r="26" spans="1:8">
      <c r="A26" s="5"/>
      <c r="B26" s="5"/>
      <c r="C26" s="5"/>
      <c r="D26" s="5"/>
      <c r="E26" s="1"/>
      <c r="F26" s="1"/>
      <c r="G26" s="1"/>
      <c r="H26" s="1"/>
    </row>
    <row r="27" spans="1:8">
      <c r="A27" s="5"/>
      <c r="B27" s="5"/>
      <c r="C27" s="5"/>
      <c r="D27" s="5"/>
      <c r="E27" s="1"/>
      <c r="F27" s="1"/>
      <c r="G27" s="1"/>
      <c r="H27" s="1"/>
    </row>
    <row r="28" spans="1:8">
      <c r="A28" s="5"/>
      <c r="B28" s="5"/>
      <c r="C28" s="5"/>
      <c r="D28" s="5"/>
      <c r="E28" s="1"/>
      <c r="F28" s="1"/>
      <c r="G28" s="1"/>
      <c r="H28" s="1"/>
    </row>
    <row r="29" spans="1:8">
      <c r="A29" s="5"/>
      <c r="B29" s="5"/>
      <c r="C29" s="5"/>
      <c r="D29" s="5"/>
      <c r="E29" s="1"/>
      <c r="F29" s="1"/>
      <c r="G29" s="1"/>
      <c r="H29" s="1"/>
    </row>
    <row r="30" spans="1:8">
      <c r="A30" s="5"/>
      <c r="B30" s="5"/>
      <c r="C30" s="5"/>
      <c r="D30" s="5"/>
      <c r="E30" s="1"/>
      <c r="F30" s="1"/>
      <c r="G30" s="1"/>
      <c r="H30" s="1"/>
    </row>
    <row r="31" spans="1:8">
      <c r="A31" s="5"/>
      <c r="B31" s="5"/>
      <c r="C31" s="5"/>
      <c r="D31" s="5"/>
      <c r="E31" s="1"/>
      <c r="F31" s="1"/>
      <c r="G31" s="1"/>
      <c r="H31" s="1"/>
    </row>
    <row r="32" spans="1:8">
      <c r="A32" s="5"/>
      <c r="B32" s="5"/>
      <c r="C32" s="5"/>
      <c r="D32" s="5"/>
      <c r="E32" s="1"/>
      <c r="F32" s="1"/>
      <c r="G32" s="1"/>
      <c r="H32" s="1"/>
    </row>
    <row r="33" spans="1:8">
      <c r="A33" s="5"/>
      <c r="B33" s="5"/>
      <c r="C33" s="5"/>
      <c r="D33" s="5"/>
      <c r="E33" s="1"/>
      <c r="F33" s="1"/>
      <c r="G33" s="1"/>
      <c r="H33" s="1"/>
    </row>
    <row r="34" spans="1:8">
      <c r="A34" s="5"/>
      <c r="B34" s="5"/>
      <c r="C34" s="5"/>
      <c r="D34" s="5"/>
      <c r="E34" s="1"/>
      <c r="F34" s="1"/>
      <c r="G34" s="1"/>
      <c r="H34" s="1"/>
    </row>
    <row r="35" spans="1:8">
      <c r="A35" s="5"/>
      <c r="B35" s="5"/>
      <c r="C35" s="5"/>
      <c r="D35" s="5"/>
      <c r="E35" s="1"/>
      <c r="F35" s="1"/>
      <c r="G35" s="1"/>
      <c r="H35" s="1"/>
    </row>
    <row r="36" spans="1:8">
      <c r="A36" s="5"/>
      <c r="B36" s="5"/>
      <c r="C36" s="5"/>
      <c r="D36" s="5"/>
      <c r="E36" s="1"/>
      <c r="F36" s="1"/>
      <c r="G36" s="1"/>
      <c r="H36" s="1"/>
    </row>
    <row r="37" spans="1:8">
      <c r="A37" s="5"/>
      <c r="B37" s="5"/>
      <c r="C37" s="5"/>
      <c r="D37" s="5"/>
      <c r="E37" s="1"/>
      <c r="F37" s="1"/>
      <c r="G37" s="1"/>
      <c r="H37" s="1"/>
    </row>
    <row r="38" spans="1:8">
      <c r="A38" s="5"/>
      <c r="B38" s="5"/>
      <c r="C38" s="5"/>
      <c r="D38" s="5"/>
      <c r="E38" s="1"/>
      <c r="F38" s="1"/>
      <c r="G38" s="1"/>
      <c r="H38" s="1"/>
    </row>
    <row r="39" spans="1:8">
      <c r="A39" s="5"/>
      <c r="B39" s="5"/>
      <c r="C39" s="5"/>
      <c r="D39" s="5"/>
      <c r="E39" s="1"/>
      <c r="F39" s="1"/>
      <c r="G39" s="1"/>
      <c r="H39" s="1"/>
    </row>
    <row r="40" spans="1:8">
      <c r="A40" s="5"/>
      <c r="B40" s="5"/>
      <c r="C40" s="5"/>
      <c r="D40" s="5"/>
      <c r="E40" s="1"/>
      <c r="F40" s="1"/>
      <c r="G40" s="1"/>
      <c r="H40" s="1"/>
    </row>
    <row r="41" spans="1:8">
      <c r="A41" s="5"/>
      <c r="B41" s="5"/>
      <c r="C41" s="5"/>
      <c r="D41" s="5"/>
      <c r="E41" s="1"/>
      <c r="F41" s="1"/>
      <c r="G41" s="1"/>
      <c r="H41" s="1"/>
    </row>
    <row r="42" spans="1:8">
      <c r="A42" s="5"/>
      <c r="B42" s="5"/>
      <c r="C42" s="5"/>
      <c r="D42" s="5"/>
      <c r="E42" s="1"/>
      <c r="F42" s="1"/>
      <c r="G42" s="1"/>
      <c r="H42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6" workbookViewId="0">
      <selection activeCell="E41" sqref="E41"/>
    </sheetView>
  </sheetViews>
  <sheetFormatPr defaultRowHeight="16.5"/>
  <cols>
    <col min="1" max="1" width="6.25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6.75" customWidth="1"/>
    <col min="8" max="8" width="0.25" hidden="1" customWidth="1"/>
  </cols>
  <sheetData>
    <row r="1" spans="1:8" ht="25.5" customHeight="1">
      <c r="A1" s="13" t="s">
        <v>108</v>
      </c>
      <c r="B1" s="14"/>
      <c r="C1" s="14"/>
      <c r="D1" s="14"/>
      <c r="E1" s="14"/>
      <c r="F1" s="14"/>
      <c r="G1" s="14"/>
      <c r="H1" s="14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41960</v>
      </c>
      <c r="B3" s="5">
        <v>450</v>
      </c>
      <c r="C3" s="5" t="s">
        <v>29</v>
      </c>
      <c r="D3" s="5" t="s">
        <v>30</v>
      </c>
      <c r="E3" s="3">
        <v>2</v>
      </c>
      <c r="F3" s="4">
        <f>(B3*E3)/1000</f>
        <v>0.9</v>
      </c>
      <c r="G3" s="1"/>
      <c r="H3" s="1"/>
    </row>
    <row r="4" spans="1:8">
      <c r="A4" s="5" t="s">
        <v>7</v>
      </c>
      <c r="B4" s="5">
        <v>450</v>
      </c>
      <c r="C4" s="5" t="s">
        <v>109</v>
      </c>
      <c r="D4" s="5" t="s">
        <v>31</v>
      </c>
      <c r="E4" s="3">
        <v>40</v>
      </c>
      <c r="F4" s="4">
        <f t="shared" ref="F4:F23" si="0">(B4*E4)/1000</f>
        <v>18</v>
      </c>
      <c r="G4" s="1"/>
      <c r="H4" s="1"/>
    </row>
    <row r="5" spans="1:8">
      <c r="A5" s="5" t="s">
        <v>28</v>
      </c>
      <c r="B5" s="5">
        <v>450</v>
      </c>
      <c r="C5" s="5"/>
      <c r="D5" s="5" t="s">
        <v>71</v>
      </c>
      <c r="E5" s="3">
        <v>30</v>
      </c>
      <c r="F5" s="4">
        <f t="shared" si="0"/>
        <v>13.5</v>
      </c>
      <c r="G5" s="1"/>
      <c r="H5" s="1"/>
    </row>
    <row r="6" spans="1:8">
      <c r="A6" s="5"/>
      <c r="B6" s="5">
        <v>450</v>
      </c>
      <c r="C6" s="5"/>
      <c r="D6" s="5" t="s">
        <v>32</v>
      </c>
      <c r="E6" s="3">
        <v>5</v>
      </c>
      <c r="F6" s="4">
        <f t="shared" si="0"/>
        <v>2.25</v>
      </c>
      <c r="G6" s="1" t="s">
        <v>57</v>
      </c>
      <c r="H6" s="1"/>
    </row>
    <row r="7" spans="1:8">
      <c r="A7" s="5"/>
      <c r="B7" s="5">
        <v>450</v>
      </c>
      <c r="C7" s="5"/>
      <c r="D7" s="5" t="s">
        <v>157</v>
      </c>
      <c r="E7" s="3">
        <v>5</v>
      </c>
      <c r="F7" s="4">
        <f t="shared" si="0"/>
        <v>2.25</v>
      </c>
      <c r="G7" s="1"/>
      <c r="H7" s="1"/>
    </row>
    <row r="8" spans="1:8">
      <c r="A8" s="5"/>
      <c r="B8" s="5">
        <v>450</v>
      </c>
      <c r="C8" s="5" t="s">
        <v>110</v>
      </c>
      <c r="D8" s="5" t="s">
        <v>111</v>
      </c>
      <c r="E8" s="3">
        <v>130</v>
      </c>
      <c r="F8" s="4">
        <f t="shared" si="0"/>
        <v>58.5</v>
      </c>
      <c r="G8" s="1"/>
      <c r="H8" s="1"/>
    </row>
    <row r="9" spans="1:8">
      <c r="A9" s="5"/>
      <c r="B9" s="5">
        <v>450</v>
      </c>
      <c r="C9" s="5"/>
      <c r="D9" s="5" t="s">
        <v>33</v>
      </c>
      <c r="E9" s="3">
        <v>70</v>
      </c>
      <c r="F9" s="4">
        <f t="shared" si="0"/>
        <v>31.5</v>
      </c>
      <c r="G9" s="1"/>
      <c r="H9" s="1"/>
    </row>
    <row r="10" spans="1:8">
      <c r="A10" s="5"/>
      <c r="B10" s="5">
        <v>450</v>
      </c>
      <c r="C10" s="5"/>
      <c r="D10" s="5" t="s">
        <v>112</v>
      </c>
      <c r="E10" s="3">
        <v>20</v>
      </c>
      <c r="F10" s="4">
        <f t="shared" si="0"/>
        <v>9</v>
      </c>
      <c r="G10" s="1"/>
      <c r="H10" s="1"/>
    </row>
    <row r="11" spans="1:8">
      <c r="A11" s="5"/>
      <c r="B11" s="5">
        <v>450</v>
      </c>
      <c r="C11" s="5"/>
      <c r="D11" s="5" t="s">
        <v>34</v>
      </c>
      <c r="E11" s="3">
        <v>10</v>
      </c>
      <c r="F11" s="4">
        <f t="shared" si="0"/>
        <v>4.5</v>
      </c>
      <c r="G11" s="1"/>
      <c r="H11" s="1"/>
    </row>
    <row r="12" spans="1:8">
      <c r="A12" s="5"/>
      <c r="B12" s="5">
        <v>450</v>
      </c>
      <c r="C12" s="5"/>
      <c r="D12" s="5" t="s">
        <v>13</v>
      </c>
      <c r="E12" s="3">
        <v>10</v>
      </c>
      <c r="F12" s="4">
        <f t="shared" si="0"/>
        <v>4.5</v>
      </c>
      <c r="G12" s="1" t="s">
        <v>35</v>
      </c>
      <c r="H12" s="1"/>
    </row>
    <row r="13" spans="1:8">
      <c r="A13" s="5"/>
      <c r="B13" s="5">
        <v>450</v>
      </c>
      <c r="C13" s="5" t="s">
        <v>36</v>
      </c>
      <c r="D13" s="5" t="s">
        <v>37</v>
      </c>
      <c r="E13" s="3">
        <v>65</v>
      </c>
      <c r="F13" s="4">
        <f t="shared" si="0"/>
        <v>29.25</v>
      </c>
      <c r="G13" s="1"/>
      <c r="H13" s="1"/>
    </row>
    <row r="14" spans="1:8">
      <c r="A14" s="5"/>
      <c r="B14" s="5">
        <v>450</v>
      </c>
      <c r="C14" s="5"/>
      <c r="D14" s="5" t="s">
        <v>38</v>
      </c>
      <c r="E14" s="3">
        <v>65</v>
      </c>
      <c r="F14" s="4">
        <f t="shared" si="0"/>
        <v>29.25</v>
      </c>
      <c r="G14" s="1"/>
      <c r="H14" s="1"/>
    </row>
    <row r="15" spans="1:8">
      <c r="A15" s="5"/>
      <c r="B15" s="5">
        <v>450</v>
      </c>
      <c r="C15" s="5"/>
      <c r="D15" s="5" t="s">
        <v>39</v>
      </c>
      <c r="E15" s="3">
        <v>3</v>
      </c>
      <c r="F15" s="4">
        <f t="shared" si="0"/>
        <v>1.35</v>
      </c>
      <c r="G15" s="1"/>
      <c r="H15" s="1"/>
    </row>
    <row r="16" spans="1:8">
      <c r="A16" s="5"/>
      <c r="B16" s="5">
        <v>450</v>
      </c>
      <c r="C16" s="5"/>
      <c r="D16" s="5" t="s">
        <v>40</v>
      </c>
      <c r="E16" s="3">
        <v>30</v>
      </c>
      <c r="F16" s="4">
        <f t="shared" si="0"/>
        <v>13.5</v>
      </c>
      <c r="G16" s="1"/>
      <c r="H16" s="1"/>
    </row>
    <row r="17" spans="1:8">
      <c r="A17" s="5"/>
      <c r="B17" s="5">
        <v>450</v>
      </c>
      <c r="C17" s="5" t="s">
        <v>14</v>
      </c>
      <c r="D17" s="5" t="s">
        <v>14</v>
      </c>
      <c r="E17" s="3">
        <v>40</v>
      </c>
      <c r="F17" s="4">
        <f t="shared" si="0"/>
        <v>18</v>
      </c>
      <c r="G17" s="1"/>
      <c r="H17" s="1"/>
    </row>
    <row r="18" spans="1:8">
      <c r="A18" s="8"/>
      <c r="B18" s="8"/>
      <c r="C18" s="8"/>
      <c r="D18" s="8"/>
      <c r="E18" s="6"/>
      <c r="F18" s="7"/>
      <c r="G18" s="6"/>
      <c r="H18" s="1"/>
    </row>
    <row r="19" spans="1:8">
      <c r="A19" s="2">
        <v>41961</v>
      </c>
      <c r="B19" s="5">
        <v>200</v>
      </c>
      <c r="C19" s="5" t="s">
        <v>42</v>
      </c>
      <c r="D19" s="5" t="s">
        <v>43</v>
      </c>
      <c r="E19" s="3">
        <v>35</v>
      </c>
      <c r="F19" s="4">
        <f t="shared" si="0"/>
        <v>7</v>
      </c>
      <c r="G19" s="1"/>
      <c r="H19" s="1"/>
    </row>
    <row r="20" spans="1:8">
      <c r="A20" s="5" t="s">
        <v>41</v>
      </c>
      <c r="B20" s="5">
        <v>200</v>
      </c>
      <c r="C20" s="5"/>
      <c r="D20" s="5" t="s">
        <v>44</v>
      </c>
      <c r="E20" s="3">
        <v>25</v>
      </c>
      <c r="F20" s="4">
        <f t="shared" si="0"/>
        <v>5</v>
      </c>
      <c r="G20" s="1"/>
      <c r="H20" s="1"/>
    </row>
    <row r="21" spans="1:8">
      <c r="A21" s="5" t="s">
        <v>8</v>
      </c>
      <c r="B21" s="5">
        <v>200</v>
      </c>
      <c r="C21" s="5"/>
      <c r="D21" s="5" t="s">
        <v>11</v>
      </c>
      <c r="E21" s="3">
        <v>20</v>
      </c>
      <c r="F21" s="4">
        <f t="shared" si="0"/>
        <v>4</v>
      </c>
      <c r="G21" s="1"/>
      <c r="H21" s="1"/>
    </row>
    <row r="22" spans="1:8">
      <c r="A22" s="5"/>
      <c r="B22" s="5">
        <v>200</v>
      </c>
      <c r="C22" s="5"/>
      <c r="D22" s="5" t="s">
        <v>45</v>
      </c>
      <c r="E22" s="3">
        <v>2</v>
      </c>
      <c r="F22" s="4">
        <f t="shared" si="0"/>
        <v>0.4</v>
      </c>
      <c r="G22" s="1" t="s">
        <v>57</v>
      </c>
      <c r="H22" s="1"/>
    </row>
    <row r="23" spans="1:8">
      <c r="A23" s="5"/>
      <c r="B23" s="5">
        <v>200</v>
      </c>
      <c r="C23" s="5" t="s">
        <v>46</v>
      </c>
      <c r="D23" s="5" t="s">
        <v>47</v>
      </c>
      <c r="E23" s="3">
        <v>100</v>
      </c>
      <c r="F23" s="4">
        <f t="shared" si="0"/>
        <v>20</v>
      </c>
      <c r="G23" s="1"/>
      <c r="H23" s="1"/>
    </row>
    <row r="24" spans="1:8">
      <c r="A24" s="5"/>
      <c r="B24" s="5">
        <v>200</v>
      </c>
      <c r="C24" s="5"/>
      <c r="D24" s="5" t="s">
        <v>44</v>
      </c>
      <c r="E24" s="3">
        <v>10</v>
      </c>
      <c r="F24" s="4">
        <f>(B24*E24)/1000</f>
        <v>2</v>
      </c>
      <c r="G24" s="1"/>
      <c r="H24" s="1"/>
    </row>
    <row r="25" spans="1:8">
      <c r="A25" s="5"/>
      <c r="B25" s="5">
        <v>200</v>
      </c>
      <c r="C25" s="5"/>
      <c r="D25" s="5" t="s">
        <v>13</v>
      </c>
      <c r="E25" s="3">
        <v>10</v>
      </c>
      <c r="F25" s="4">
        <f>(B23*E25)/1000</f>
        <v>2</v>
      </c>
      <c r="G25" s="1" t="s">
        <v>35</v>
      </c>
      <c r="H25" s="1"/>
    </row>
    <row r="26" spans="1:8">
      <c r="A26" s="5"/>
      <c r="B26" s="5">
        <v>200</v>
      </c>
      <c r="C26" s="5" t="s">
        <v>113</v>
      </c>
      <c r="D26" s="5" t="s">
        <v>52</v>
      </c>
      <c r="E26" s="3">
        <v>40</v>
      </c>
      <c r="F26" s="4">
        <f>(B25*E26)/1000</f>
        <v>8</v>
      </c>
      <c r="G26" s="1" t="s">
        <v>35</v>
      </c>
      <c r="H26" s="1"/>
    </row>
    <row r="27" spans="1:8">
      <c r="A27" s="5"/>
      <c r="B27" s="5">
        <v>200</v>
      </c>
      <c r="C27" s="5"/>
      <c r="D27" s="5" t="s">
        <v>114</v>
      </c>
      <c r="E27" s="3">
        <v>30</v>
      </c>
      <c r="F27" s="4">
        <f t="shared" ref="F27:F28" si="1">(B26*E27)/1000</f>
        <v>6</v>
      </c>
      <c r="G27" s="1"/>
      <c r="H27" s="1"/>
    </row>
    <row r="28" spans="1:8">
      <c r="A28" s="5"/>
      <c r="B28" s="5">
        <v>200</v>
      </c>
      <c r="C28" s="5"/>
      <c r="D28" s="5" t="s">
        <v>115</v>
      </c>
      <c r="E28" s="3">
        <v>2</v>
      </c>
      <c r="F28" s="4">
        <f t="shared" si="1"/>
        <v>0.4</v>
      </c>
      <c r="G28" s="1"/>
      <c r="H28" s="1"/>
    </row>
    <row r="29" spans="1:8">
      <c r="A29" s="5"/>
      <c r="B29" s="5">
        <v>200</v>
      </c>
      <c r="C29" s="5" t="s">
        <v>14</v>
      </c>
      <c r="D29" s="5" t="s">
        <v>14</v>
      </c>
      <c r="E29" s="3">
        <v>40</v>
      </c>
      <c r="F29" s="4">
        <f>(B29*E29)/1000</f>
        <v>8</v>
      </c>
      <c r="G29" s="1"/>
      <c r="H29" s="1"/>
    </row>
    <row r="30" spans="1:8">
      <c r="A30" s="5"/>
      <c r="B30" s="5">
        <v>200</v>
      </c>
      <c r="C30" s="5" t="s">
        <v>116</v>
      </c>
      <c r="D30" s="5" t="s">
        <v>116</v>
      </c>
      <c r="E30" s="3">
        <v>60</v>
      </c>
      <c r="F30" s="9" t="s">
        <v>160</v>
      </c>
      <c r="G30" s="1"/>
      <c r="H30" s="1"/>
    </row>
    <row r="31" spans="1:8">
      <c r="A31" s="8"/>
      <c r="B31" s="8"/>
      <c r="C31" s="8"/>
      <c r="D31" s="8"/>
      <c r="E31" s="6"/>
      <c r="F31" s="6"/>
      <c r="G31" s="6"/>
      <c r="H31" s="1"/>
    </row>
    <row r="32" spans="1:8">
      <c r="A32" s="2">
        <v>41961</v>
      </c>
      <c r="B32" s="5">
        <v>480</v>
      </c>
      <c r="C32" s="5" t="s">
        <v>50</v>
      </c>
      <c r="D32" s="5" t="s">
        <v>51</v>
      </c>
      <c r="E32" s="3">
        <v>2</v>
      </c>
      <c r="F32" s="4">
        <f>(B32*E32)/1000</f>
        <v>0.96</v>
      </c>
      <c r="G32" s="1"/>
      <c r="H32" s="1"/>
    </row>
    <row r="33" spans="1:8">
      <c r="A33" s="5" t="s">
        <v>48</v>
      </c>
      <c r="B33" s="5">
        <v>480</v>
      </c>
      <c r="C33" s="5" t="s">
        <v>117</v>
      </c>
      <c r="D33" s="5" t="s">
        <v>159</v>
      </c>
      <c r="E33" s="3">
        <v>5</v>
      </c>
      <c r="F33" s="4">
        <f t="shared" ref="F33:F38" si="2">(B33*E33)/1000</f>
        <v>2.4</v>
      </c>
      <c r="G33" s="1"/>
      <c r="H33" s="1"/>
    </row>
    <row r="34" spans="1:8">
      <c r="A34" s="5" t="s">
        <v>49</v>
      </c>
      <c r="B34" s="5">
        <v>480</v>
      </c>
      <c r="C34" s="5"/>
      <c r="D34" s="12" t="s">
        <v>161</v>
      </c>
      <c r="E34" s="3">
        <v>15</v>
      </c>
      <c r="F34" s="4">
        <f t="shared" si="2"/>
        <v>7.2</v>
      </c>
      <c r="G34" s="1"/>
      <c r="H34" s="1"/>
    </row>
    <row r="35" spans="1:8">
      <c r="A35" s="5"/>
      <c r="B35" s="5">
        <v>480</v>
      </c>
      <c r="C35" s="5"/>
      <c r="D35" s="5" t="s">
        <v>158</v>
      </c>
      <c r="E35" s="3">
        <v>10</v>
      </c>
      <c r="F35" s="4">
        <f t="shared" si="2"/>
        <v>4.8</v>
      </c>
      <c r="G35" s="1" t="s">
        <v>119</v>
      </c>
      <c r="H35" s="1"/>
    </row>
    <row r="36" spans="1:8">
      <c r="A36" s="5"/>
      <c r="B36" s="5">
        <v>480</v>
      </c>
      <c r="C36" s="5" t="s">
        <v>118</v>
      </c>
      <c r="D36" s="5" t="s">
        <v>120</v>
      </c>
      <c r="E36" s="3">
        <v>170</v>
      </c>
      <c r="F36" s="4">
        <f t="shared" si="2"/>
        <v>81.599999999999994</v>
      </c>
      <c r="G36" s="1"/>
      <c r="H36" s="1"/>
    </row>
    <row r="37" spans="1:8">
      <c r="A37" s="5"/>
      <c r="B37" s="5">
        <v>480</v>
      </c>
      <c r="C37" s="5"/>
      <c r="D37" s="5" t="s">
        <v>60</v>
      </c>
      <c r="E37" s="3">
        <v>40</v>
      </c>
      <c r="F37" s="4">
        <f t="shared" si="2"/>
        <v>19.2</v>
      </c>
      <c r="G37" s="1"/>
      <c r="H37" s="1"/>
    </row>
    <row r="38" spans="1:8">
      <c r="A38" s="5"/>
      <c r="B38" s="5">
        <v>480</v>
      </c>
      <c r="C38" s="5"/>
      <c r="D38" s="5" t="s">
        <v>121</v>
      </c>
      <c r="E38" s="3">
        <v>10</v>
      </c>
      <c r="F38" s="4">
        <f t="shared" si="2"/>
        <v>4.8</v>
      </c>
      <c r="G38" s="1"/>
      <c r="H38" s="1"/>
    </row>
    <row r="39" spans="1:8">
      <c r="A39" s="5"/>
      <c r="B39" s="5">
        <v>480</v>
      </c>
      <c r="C39" s="5" t="s">
        <v>54</v>
      </c>
      <c r="D39" s="5" t="s">
        <v>55</v>
      </c>
      <c r="E39" s="3">
        <v>60</v>
      </c>
      <c r="F39" s="4">
        <f t="shared" ref="F39:F43" si="3">(B39*E39)/1000</f>
        <v>28.8</v>
      </c>
      <c r="G39" s="1"/>
      <c r="H39" s="1"/>
    </row>
    <row r="40" spans="1:8">
      <c r="A40" s="5"/>
      <c r="B40" s="5">
        <v>480</v>
      </c>
      <c r="C40" s="5"/>
      <c r="D40" s="5" t="s">
        <v>162</v>
      </c>
      <c r="E40" s="3">
        <v>10</v>
      </c>
      <c r="F40" s="4">
        <f t="shared" si="3"/>
        <v>4.8</v>
      </c>
      <c r="G40" s="1"/>
      <c r="H40" s="1"/>
    </row>
    <row r="41" spans="1:8">
      <c r="A41" s="5"/>
      <c r="B41" s="5">
        <v>480</v>
      </c>
      <c r="C41" s="5"/>
      <c r="D41" s="5" t="s">
        <v>163</v>
      </c>
      <c r="E41" s="3">
        <v>5</v>
      </c>
      <c r="F41" s="4">
        <f t="shared" si="3"/>
        <v>2.4</v>
      </c>
      <c r="G41" s="1"/>
      <c r="H41" s="1"/>
    </row>
    <row r="42" spans="1:8">
      <c r="A42" s="5"/>
      <c r="B42" s="5">
        <v>480</v>
      </c>
      <c r="C42" s="5"/>
      <c r="D42" s="5" t="s">
        <v>58</v>
      </c>
      <c r="E42" s="3">
        <v>5</v>
      </c>
      <c r="F42" s="4">
        <f t="shared" si="3"/>
        <v>2.4</v>
      </c>
      <c r="G42" s="1"/>
      <c r="H42" s="1"/>
    </row>
    <row r="43" spans="1:8">
      <c r="A43" s="5"/>
      <c r="B43" s="5">
        <v>480</v>
      </c>
      <c r="C43" s="5" t="s">
        <v>14</v>
      </c>
      <c r="D43" s="5" t="s">
        <v>14</v>
      </c>
      <c r="E43" s="3">
        <v>40</v>
      </c>
      <c r="F43" s="4">
        <f t="shared" si="3"/>
        <v>19.2</v>
      </c>
      <c r="G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topLeftCell="A7" workbookViewId="0">
      <selection activeCell="F36" sqref="F36"/>
    </sheetView>
  </sheetViews>
  <sheetFormatPr defaultRowHeight="16.5"/>
  <cols>
    <col min="1" max="1" width="6.25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2.375" customWidth="1"/>
    <col min="8" max="8" width="0.25" customWidth="1"/>
  </cols>
  <sheetData>
    <row r="1" spans="1:8" ht="25.5" customHeight="1">
      <c r="A1" s="13" t="s">
        <v>125</v>
      </c>
      <c r="B1" s="14"/>
      <c r="C1" s="14"/>
      <c r="D1" s="14"/>
      <c r="E1" s="14"/>
      <c r="F1" s="14"/>
      <c r="G1" s="14"/>
      <c r="H1" s="14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41961</v>
      </c>
      <c r="B3" s="5">
        <v>500</v>
      </c>
      <c r="C3" s="5" t="s">
        <v>124</v>
      </c>
      <c r="D3" s="5" t="s">
        <v>59</v>
      </c>
      <c r="E3" s="3">
        <v>20</v>
      </c>
      <c r="F3" s="4">
        <f>(B3*E3)/1000</f>
        <v>10</v>
      </c>
      <c r="G3" s="1"/>
      <c r="H3" s="1"/>
    </row>
    <row r="4" spans="1:8">
      <c r="A4" s="5" t="s">
        <v>41</v>
      </c>
      <c r="B4" s="5">
        <v>500</v>
      </c>
      <c r="C4" s="5"/>
      <c r="D4" s="5" t="s">
        <v>60</v>
      </c>
      <c r="E4" s="3">
        <v>20</v>
      </c>
      <c r="F4" s="4">
        <f t="shared" ref="F4:F22" si="0">(B4*E4)/1000</f>
        <v>10</v>
      </c>
      <c r="G4" s="1"/>
      <c r="H4" s="1"/>
    </row>
    <row r="5" spans="1:8">
      <c r="A5" s="5" t="s">
        <v>28</v>
      </c>
      <c r="B5" s="5">
        <v>500</v>
      </c>
      <c r="C5" s="5"/>
      <c r="D5" s="5" t="s">
        <v>53</v>
      </c>
      <c r="E5" s="3">
        <v>20</v>
      </c>
      <c r="F5" s="4">
        <f t="shared" si="0"/>
        <v>10</v>
      </c>
      <c r="G5" s="1"/>
      <c r="H5" s="1"/>
    </row>
    <row r="6" spans="1:8">
      <c r="A6" s="5"/>
      <c r="B6" s="5">
        <v>500</v>
      </c>
      <c r="C6" s="5"/>
      <c r="D6" s="5" t="s">
        <v>13</v>
      </c>
      <c r="E6" s="3">
        <v>20</v>
      </c>
      <c r="F6" s="4">
        <f t="shared" si="0"/>
        <v>10</v>
      </c>
      <c r="G6" s="1"/>
      <c r="H6" s="1"/>
    </row>
    <row r="7" spans="1:8">
      <c r="A7" s="5"/>
      <c r="B7" s="5">
        <v>500</v>
      </c>
      <c r="C7" s="5"/>
      <c r="D7" s="5" t="s">
        <v>61</v>
      </c>
      <c r="E7" s="3">
        <v>20</v>
      </c>
      <c r="F7" s="4">
        <f t="shared" si="0"/>
        <v>10</v>
      </c>
      <c r="G7" s="1"/>
      <c r="H7" s="1"/>
    </row>
    <row r="8" spans="1:8">
      <c r="A8" s="5"/>
      <c r="B8" s="5">
        <v>500</v>
      </c>
      <c r="C8" s="5" t="s">
        <v>126</v>
      </c>
      <c r="D8" s="5" t="s">
        <v>127</v>
      </c>
      <c r="E8" s="3">
        <v>20</v>
      </c>
      <c r="F8" s="4">
        <f t="shared" si="0"/>
        <v>10</v>
      </c>
      <c r="G8" s="1"/>
      <c r="H8" s="1"/>
    </row>
    <row r="9" spans="1:8">
      <c r="A9" s="5"/>
      <c r="B9" s="5">
        <v>500</v>
      </c>
      <c r="C9" s="5"/>
      <c r="D9" s="5" t="s">
        <v>128</v>
      </c>
      <c r="E9" s="3">
        <v>10</v>
      </c>
      <c r="F9" s="4">
        <f t="shared" si="0"/>
        <v>5</v>
      </c>
      <c r="G9" s="1"/>
      <c r="H9" s="1"/>
    </row>
    <row r="10" spans="1:8">
      <c r="A10" s="5"/>
      <c r="B10" s="5">
        <v>500</v>
      </c>
      <c r="C10" s="5"/>
      <c r="D10" s="5" t="s">
        <v>44</v>
      </c>
      <c r="E10" s="3">
        <v>10</v>
      </c>
      <c r="F10" s="4">
        <f t="shared" si="0"/>
        <v>5</v>
      </c>
      <c r="G10" s="1"/>
      <c r="H10" s="1"/>
    </row>
    <row r="11" spans="1:8">
      <c r="A11" s="5"/>
      <c r="B11" s="5">
        <v>500</v>
      </c>
      <c r="C11" s="5"/>
      <c r="D11" s="5" t="s">
        <v>45</v>
      </c>
      <c r="E11" s="3">
        <v>3</v>
      </c>
      <c r="F11" s="4">
        <f t="shared" si="0"/>
        <v>1.5</v>
      </c>
      <c r="G11" s="1"/>
      <c r="H11" s="1"/>
    </row>
    <row r="12" spans="1:8">
      <c r="A12" s="5"/>
      <c r="B12" s="5">
        <v>500</v>
      </c>
      <c r="C12" s="5" t="s">
        <v>129</v>
      </c>
      <c r="D12" s="5" t="s">
        <v>130</v>
      </c>
      <c r="E12" s="3">
        <v>100</v>
      </c>
      <c r="F12" s="4">
        <f t="shared" si="0"/>
        <v>50</v>
      </c>
      <c r="G12" s="1"/>
      <c r="H12" s="1"/>
    </row>
    <row r="13" spans="1:8">
      <c r="A13" s="5"/>
      <c r="B13" s="5">
        <v>500</v>
      </c>
      <c r="C13" s="5"/>
      <c r="D13" s="5" t="s">
        <v>131</v>
      </c>
      <c r="E13" s="3">
        <v>0</v>
      </c>
      <c r="F13" s="4">
        <f t="shared" si="0"/>
        <v>0</v>
      </c>
      <c r="G13" s="1"/>
      <c r="H13" s="1"/>
    </row>
    <row r="14" spans="1:8">
      <c r="A14" s="5"/>
      <c r="B14" s="5">
        <v>500</v>
      </c>
      <c r="C14" s="5"/>
      <c r="D14" s="5" t="s">
        <v>132</v>
      </c>
      <c r="E14" s="3">
        <v>0</v>
      </c>
      <c r="F14" s="4">
        <f t="shared" si="0"/>
        <v>0</v>
      </c>
      <c r="G14" s="1"/>
      <c r="H14" s="1"/>
    </row>
    <row r="15" spans="1:8">
      <c r="A15" s="5"/>
      <c r="B15" s="5">
        <v>500</v>
      </c>
      <c r="C15" s="5" t="s">
        <v>62</v>
      </c>
      <c r="D15" s="5" t="s">
        <v>14</v>
      </c>
      <c r="E15" s="3">
        <v>40</v>
      </c>
      <c r="F15" s="4">
        <f t="shared" si="0"/>
        <v>20</v>
      </c>
      <c r="G15" s="1"/>
      <c r="H15" s="1"/>
    </row>
    <row r="16" spans="1:8">
      <c r="A16" s="8"/>
      <c r="B16" s="8"/>
      <c r="C16" s="8"/>
      <c r="D16" s="8"/>
      <c r="E16" s="6"/>
      <c r="F16" s="7"/>
      <c r="G16" s="6"/>
      <c r="H16" s="1"/>
    </row>
    <row r="17" spans="1:8">
      <c r="A17" s="2">
        <v>41962</v>
      </c>
      <c r="B17" s="5">
        <v>220</v>
      </c>
      <c r="C17" s="5" t="s">
        <v>85</v>
      </c>
      <c r="D17" s="5" t="s">
        <v>133</v>
      </c>
      <c r="E17" s="3">
        <v>25</v>
      </c>
      <c r="F17" s="4">
        <f t="shared" si="0"/>
        <v>5.5</v>
      </c>
      <c r="G17" s="1"/>
      <c r="H17" s="1"/>
    </row>
    <row r="18" spans="1:8">
      <c r="A18" s="5" t="s">
        <v>63</v>
      </c>
      <c r="B18" s="5">
        <v>220</v>
      </c>
      <c r="C18" s="5"/>
      <c r="D18" s="5" t="s">
        <v>44</v>
      </c>
      <c r="E18" s="3">
        <v>40</v>
      </c>
      <c r="F18" s="4">
        <f t="shared" si="0"/>
        <v>8.8000000000000007</v>
      </c>
      <c r="G18" s="1" t="s">
        <v>134</v>
      </c>
      <c r="H18" s="1"/>
    </row>
    <row r="19" spans="1:8">
      <c r="A19" s="5" t="s">
        <v>8</v>
      </c>
      <c r="B19" s="5">
        <v>220</v>
      </c>
      <c r="C19" s="5" t="s">
        <v>96</v>
      </c>
      <c r="D19" s="5" t="s">
        <v>86</v>
      </c>
      <c r="E19" s="3">
        <v>100</v>
      </c>
      <c r="F19" s="4">
        <f t="shared" si="0"/>
        <v>22</v>
      </c>
      <c r="G19" s="1"/>
      <c r="H19" s="1"/>
    </row>
    <row r="20" spans="1:8">
      <c r="A20" s="5"/>
      <c r="B20" s="5">
        <v>220</v>
      </c>
      <c r="C20" s="5"/>
      <c r="D20" s="5" t="s">
        <v>135</v>
      </c>
      <c r="E20" s="3">
        <v>0</v>
      </c>
      <c r="F20" s="4">
        <f t="shared" si="0"/>
        <v>0</v>
      </c>
      <c r="G20" s="1"/>
      <c r="H20" s="1"/>
    </row>
    <row r="21" spans="1:8">
      <c r="A21" s="5"/>
      <c r="B21" s="5">
        <v>220</v>
      </c>
      <c r="C21" s="5"/>
      <c r="D21" s="5" t="s">
        <v>64</v>
      </c>
      <c r="E21" s="3">
        <v>5</v>
      </c>
      <c r="F21" s="4">
        <f t="shared" si="0"/>
        <v>1.1000000000000001</v>
      </c>
      <c r="G21" s="1"/>
      <c r="H21" s="1"/>
    </row>
    <row r="22" spans="1:8">
      <c r="A22" s="5"/>
      <c r="B22" s="5">
        <v>220</v>
      </c>
      <c r="C22" s="5" t="s">
        <v>136</v>
      </c>
      <c r="D22" s="5" t="s">
        <v>137</v>
      </c>
      <c r="E22" s="3">
        <v>50</v>
      </c>
      <c r="F22" s="4">
        <f t="shared" si="0"/>
        <v>11</v>
      </c>
      <c r="G22" s="1"/>
      <c r="H22" s="1"/>
    </row>
    <row r="23" spans="1:8">
      <c r="A23" s="5"/>
      <c r="B23" s="5">
        <v>220</v>
      </c>
      <c r="C23" s="5"/>
      <c r="D23" s="5" t="s">
        <v>13</v>
      </c>
      <c r="E23" s="3">
        <v>10</v>
      </c>
      <c r="F23" s="4">
        <f>(B23*E23)/1000</f>
        <v>2.2000000000000002</v>
      </c>
      <c r="G23" s="1"/>
      <c r="H23" s="1"/>
    </row>
    <row r="24" spans="1:8">
      <c r="A24" s="5"/>
      <c r="B24" s="5">
        <v>220</v>
      </c>
      <c r="C24" s="5" t="s">
        <v>62</v>
      </c>
      <c r="D24" s="5" t="s">
        <v>14</v>
      </c>
      <c r="E24" s="3">
        <v>40</v>
      </c>
      <c r="F24" s="4">
        <f>(B24*E24)/1000</f>
        <v>8.8000000000000007</v>
      </c>
      <c r="G24" s="1"/>
      <c r="H24" s="1"/>
    </row>
    <row r="25" spans="1:8">
      <c r="A25" s="8"/>
      <c r="B25" s="8"/>
      <c r="C25" s="8"/>
      <c r="D25" s="8"/>
      <c r="E25" s="6"/>
      <c r="F25" s="6"/>
      <c r="G25" s="6"/>
      <c r="H25" s="1"/>
    </row>
    <row r="26" spans="1:8">
      <c r="A26" s="2">
        <v>41962</v>
      </c>
      <c r="B26" s="5">
        <v>450</v>
      </c>
      <c r="C26" s="5" t="s">
        <v>67</v>
      </c>
      <c r="D26" s="5" t="s">
        <v>68</v>
      </c>
      <c r="E26" s="3">
        <v>2</v>
      </c>
      <c r="F26" s="4">
        <f>(B26*E26)/1000</f>
        <v>0.9</v>
      </c>
      <c r="G26" s="1"/>
      <c r="H26" s="1"/>
    </row>
    <row r="27" spans="1:8">
      <c r="A27" s="5" t="s">
        <v>63</v>
      </c>
      <c r="B27" s="5">
        <v>450</v>
      </c>
      <c r="C27" s="5" t="s">
        <v>69</v>
      </c>
      <c r="D27" s="5" t="s">
        <v>70</v>
      </c>
      <c r="E27" s="3">
        <v>30</v>
      </c>
      <c r="F27" s="4">
        <f t="shared" ref="F27:F39" si="1">(B27*E27)/1000</f>
        <v>13.5</v>
      </c>
      <c r="G27" s="1"/>
      <c r="H27" s="1"/>
    </row>
    <row r="28" spans="1:8">
      <c r="A28" s="5" t="s">
        <v>49</v>
      </c>
      <c r="B28" s="5">
        <v>450</v>
      </c>
      <c r="C28" s="5"/>
      <c r="D28" s="5" t="s">
        <v>11</v>
      </c>
      <c r="E28" s="3">
        <v>25</v>
      </c>
      <c r="F28" s="4">
        <f t="shared" si="1"/>
        <v>11.25</v>
      </c>
      <c r="G28" s="1"/>
      <c r="H28" s="1"/>
    </row>
    <row r="29" spans="1:8">
      <c r="A29" s="5"/>
      <c r="B29" s="5">
        <v>450</v>
      </c>
      <c r="C29" s="5"/>
      <c r="D29" s="5" t="s">
        <v>71</v>
      </c>
      <c r="E29" s="3">
        <v>20</v>
      </c>
      <c r="F29" s="4">
        <f t="shared" si="1"/>
        <v>9</v>
      </c>
      <c r="G29" s="1"/>
      <c r="H29" s="1"/>
    </row>
    <row r="30" spans="1:8">
      <c r="A30" s="5"/>
      <c r="B30" s="5">
        <v>450</v>
      </c>
      <c r="C30" s="5"/>
      <c r="D30" s="5" t="s">
        <v>47</v>
      </c>
      <c r="E30" s="3">
        <v>10</v>
      </c>
      <c r="F30" s="4">
        <f t="shared" si="1"/>
        <v>4.5</v>
      </c>
      <c r="G30" s="1"/>
      <c r="H30" s="1"/>
    </row>
    <row r="31" spans="1:8">
      <c r="A31" s="5"/>
      <c r="B31" s="5">
        <v>450</v>
      </c>
      <c r="C31" s="5"/>
      <c r="D31" s="5" t="s">
        <v>13</v>
      </c>
      <c r="E31" s="3">
        <v>10</v>
      </c>
      <c r="F31" s="4">
        <f t="shared" si="1"/>
        <v>4.5</v>
      </c>
      <c r="G31" s="1"/>
      <c r="H31" s="1"/>
    </row>
    <row r="32" spans="1:8">
      <c r="A32" s="5"/>
      <c r="B32" s="5">
        <v>450</v>
      </c>
      <c r="C32" s="5"/>
      <c r="D32" s="5" t="s">
        <v>21</v>
      </c>
      <c r="E32" s="3">
        <v>2</v>
      </c>
      <c r="F32" s="4">
        <f t="shared" si="1"/>
        <v>0.9</v>
      </c>
      <c r="G32" s="1"/>
      <c r="H32" s="1"/>
    </row>
    <row r="33" spans="1:8">
      <c r="A33" s="5"/>
      <c r="B33" s="5">
        <v>450</v>
      </c>
      <c r="C33" s="5"/>
      <c r="D33" s="5" t="s">
        <v>65</v>
      </c>
      <c r="E33" s="3">
        <v>10</v>
      </c>
      <c r="F33" s="4">
        <f t="shared" si="1"/>
        <v>4.5</v>
      </c>
      <c r="G33" s="1"/>
      <c r="H33" s="1"/>
    </row>
    <row r="34" spans="1:8">
      <c r="A34" s="5"/>
      <c r="B34" s="5">
        <v>450</v>
      </c>
      <c r="C34" s="5"/>
      <c r="D34" s="5" t="s">
        <v>45</v>
      </c>
      <c r="E34" s="3">
        <v>1</v>
      </c>
      <c r="F34" s="4">
        <f t="shared" si="1"/>
        <v>0.45</v>
      </c>
      <c r="G34" s="1"/>
      <c r="H34" s="1"/>
    </row>
    <row r="35" spans="1:8">
      <c r="A35" s="5"/>
      <c r="B35" s="5">
        <v>450</v>
      </c>
      <c r="C35" s="5" t="s">
        <v>72</v>
      </c>
      <c r="D35" s="5" t="s">
        <v>73</v>
      </c>
      <c r="E35" s="3">
        <v>100</v>
      </c>
      <c r="F35" s="4">
        <v>40</v>
      </c>
      <c r="G35" s="1"/>
      <c r="H35" s="1"/>
    </row>
    <row r="36" spans="1:8">
      <c r="A36" s="5"/>
      <c r="B36" s="5">
        <v>450</v>
      </c>
      <c r="C36" s="5"/>
      <c r="D36" s="5" t="s">
        <v>74</v>
      </c>
      <c r="E36" s="3">
        <v>30</v>
      </c>
      <c r="F36" s="4">
        <f t="shared" si="1"/>
        <v>13.5</v>
      </c>
      <c r="G36" s="1"/>
      <c r="H36" s="1"/>
    </row>
    <row r="37" spans="1:8">
      <c r="A37" s="5"/>
      <c r="B37" s="5">
        <v>450</v>
      </c>
      <c r="C37" s="5" t="s">
        <v>138</v>
      </c>
      <c r="D37" s="5" t="s">
        <v>53</v>
      </c>
      <c r="E37" s="3">
        <v>50</v>
      </c>
      <c r="F37" s="4">
        <f t="shared" si="1"/>
        <v>22.5</v>
      </c>
      <c r="G37" s="1"/>
      <c r="H37" s="1"/>
    </row>
    <row r="38" spans="1:8">
      <c r="A38" s="5"/>
      <c r="B38" s="5">
        <v>450</v>
      </c>
      <c r="C38" s="5"/>
      <c r="D38" s="5" t="s">
        <v>139</v>
      </c>
      <c r="E38" s="3">
        <v>2</v>
      </c>
      <c r="F38" s="4">
        <f t="shared" si="1"/>
        <v>0.9</v>
      </c>
      <c r="G38" s="1"/>
      <c r="H38" s="1"/>
    </row>
    <row r="39" spans="1:8">
      <c r="A39" s="5"/>
      <c r="B39" s="5">
        <v>450</v>
      </c>
      <c r="C39" s="5" t="s">
        <v>140</v>
      </c>
      <c r="D39" s="5" t="s">
        <v>140</v>
      </c>
      <c r="E39" s="3">
        <v>40</v>
      </c>
      <c r="F39" s="4">
        <f t="shared" si="1"/>
        <v>18</v>
      </c>
      <c r="G39" s="1"/>
      <c r="H39" s="1"/>
    </row>
    <row r="40" spans="1:8">
      <c r="H40" s="1"/>
    </row>
    <row r="41" spans="1:8">
      <c r="H41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topLeftCell="A12" workbookViewId="0">
      <selection activeCell="A34" sqref="A34"/>
    </sheetView>
  </sheetViews>
  <sheetFormatPr defaultRowHeight="16.5"/>
  <cols>
    <col min="1" max="1" width="6" customWidth="1"/>
    <col min="2" max="2" width="5.625" customWidth="1"/>
    <col min="3" max="3" width="16.875" customWidth="1"/>
    <col min="4" max="4" width="17.125" customWidth="1"/>
    <col min="5" max="5" width="8.125" customWidth="1"/>
    <col min="6" max="6" width="8" customWidth="1"/>
    <col min="7" max="7" width="18.75" customWidth="1"/>
    <col min="8" max="8" width="0.25" customWidth="1"/>
  </cols>
  <sheetData>
    <row r="1" spans="1:8" ht="25.5" customHeight="1">
      <c r="A1" s="13" t="s">
        <v>141</v>
      </c>
      <c r="B1" s="14"/>
      <c r="C1" s="14"/>
      <c r="D1" s="14"/>
      <c r="E1" s="14"/>
      <c r="F1" s="14"/>
      <c r="G1" s="14"/>
      <c r="H1" s="14"/>
    </row>
    <row r="2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</row>
    <row r="3" spans="1:8">
      <c r="A3" s="2">
        <v>41962</v>
      </c>
      <c r="B3" s="5">
        <v>500</v>
      </c>
      <c r="C3" s="5" t="s">
        <v>75</v>
      </c>
      <c r="D3" s="5" t="s">
        <v>76</v>
      </c>
      <c r="E3" s="3">
        <v>2</v>
      </c>
      <c r="F3" s="4">
        <f>(B3*E3)/1000</f>
        <v>1</v>
      </c>
      <c r="G3" s="1"/>
      <c r="H3" s="1"/>
    </row>
    <row r="4" spans="1:8">
      <c r="A4" s="5" t="s">
        <v>63</v>
      </c>
      <c r="B4" s="5">
        <v>500</v>
      </c>
      <c r="C4" s="5" t="s">
        <v>142</v>
      </c>
      <c r="D4" s="5" t="s">
        <v>143</v>
      </c>
      <c r="E4" s="3">
        <v>3</v>
      </c>
      <c r="F4" s="4">
        <f t="shared" ref="F4:F23" si="0">(B4*E4)/1000</f>
        <v>1.5</v>
      </c>
      <c r="G4" s="1"/>
      <c r="H4" s="1"/>
    </row>
    <row r="5" spans="1:8">
      <c r="A5" s="5" t="s">
        <v>28</v>
      </c>
      <c r="B5" s="5">
        <v>500</v>
      </c>
      <c r="C5" s="5" t="s">
        <v>77</v>
      </c>
      <c r="D5" s="5" t="s">
        <v>77</v>
      </c>
      <c r="E5" s="3">
        <v>100</v>
      </c>
      <c r="F5" s="4">
        <f t="shared" si="0"/>
        <v>50</v>
      </c>
      <c r="G5" s="1"/>
      <c r="H5" s="1"/>
    </row>
    <row r="6" spans="1:8">
      <c r="A6" s="5"/>
      <c r="B6" s="5">
        <v>500</v>
      </c>
      <c r="C6" s="5"/>
      <c r="D6" s="5" t="s">
        <v>78</v>
      </c>
      <c r="E6" s="3">
        <v>30</v>
      </c>
      <c r="F6" s="4">
        <f t="shared" si="0"/>
        <v>15</v>
      </c>
      <c r="G6" s="1"/>
      <c r="H6" s="1"/>
    </row>
    <row r="7" spans="1:8">
      <c r="A7" s="5"/>
      <c r="B7" s="5">
        <v>500</v>
      </c>
      <c r="C7" s="5"/>
      <c r="D7" s="5" t="s">
        <v>79</v>
      </c>
      <c r="E7" s="3">
        <v>10</v>
      </c>
      <c r="F7" s="4">
        <f t="shared" si="0"/>
        <v>5</v>
      </c>
      <c r="G7" s="1"/>
      <c r="H7" s="1"/>
    </row>
    <row r="8" spans="1:8">
      <c r="A8" s="5"/>
      <c r="B8" s="5">
        <v>500</v>
      </c>
      <c r="C8" s="5"/>
      <c r="D8" s="5" t="s">
        <v>100</v>
      </c>
      <c r="E8" s="3">
        <v>10</v>
      </c>
      <c r="F8" s="4">
        <f t="shared" si="0"/>
        <v>5</v>
      </c>
      <c r="G8" s="1"/>
      <c r="H8" s="1"/>
    </row>
    <row r="9" spans="1:8">
      <c r="A9" s="5"/>
      <c r="B9" s="5">
        <v>500</v>
      </c>
      <c r="C9" s="5" t="s">
        <v>144</v>
      </c>
      <c r="D9" s="5" t="s">
        <v>25</v>
      </c>
      <c r="E9" s="3">
        <v>50</v>
      </c>
      <c r="F9" s="4">
        <f t="shared" si="0"/>
        <v>25</v>
      </c>
      <c r="G9" s="1"/>
      <c r="H9" s="1"/>
    </row>
    <row r="10" spans="1:8">
      <c r="A10" s="5"/>
      <c r="B10" s="5">
        <v>500</v>
      </c>
      <c r="C10" s="5"/>
      <c r="D10" s="5" t="s">
        <v>56</v>
      </c>
      <c r="E10" s="3">
        <v>5</v>
      </c>
      <c r="F10" s="4">
        <f t="shared" si="0"/>
        <v>2.5</v>
      </c>
      <c r="G10" s="1"/>
      <c r="H10" s="1"/>
    </row>
    <row r="11" spans="1:8">
      <c r="A11" s="5"/>
      <c r="B11" s="5">
        <v>500</v>
      </c>
      <c r="C11" s="5"/>
      <c r="D11" s="5" t="s">
        <v>80</v>
      </c>
      <c r="E11" s="3">
        <v>10</v>
      </c>
      <c r="F11" s="4">
        <f t="shared" si="0"/>
        <v>5</v>
      </c>
      <c r="G11" s="1"/>
      <c r="H11" s="1"/>
    </row>
    <row r="12" spans="1:8">
      <c r="A12" s="5"/>
      <c r="B12" s="5">
        <v>500</v>
      </c>
      <c r="C12" s="5"/>
      <c r="D12" s="5" t="s">
        <v>83</v>
      </c>
      <c r="E12" s="3">
        <v>15</v>
      </c>
      <c r="F12" s="4">
        <f t="shared" si="0"/>
        <v>7.5</v>
      </c>
      <c r="G12" s="1"/>
      <c r="H12" s="1"/>
    </row>
    <row r="13" spans="1:8">
      <c r="A13" s="5"/>
      <c r="B13" s="5">
        <v>500</v>
      </c>
      <c r="C13" s="5"/>
      <c r="D13" s="5" t="s">
        <v>81</v>
      </c>
      <c r="E13" s="3">
        <v>10</v>
      </c>
      <c r="F13" s="4">
        <f t="shared" si="0"/>
        <v>5</v>
      </c>
      <c r="G13" s="1"/>
      <c r="H13" s="1"/>
    </row>
    <row r="14" spans="1:8">
      <c r="A14" s="5"/>
      <c r="B14" s="5">
        <v>500</v>
      </c>
      <c r="C14" s="5"/>
      <c r="D14" s="5" t="s">
        <v>82</v>
      </c>
      <c r="E14" s="3">
        <v>10</v>
      </c>
      <c r="F14" s="4">
        <f t="shared" si="0"/>
        <v>5</v>
      </c>
      <c r="G14" s="1"/>
      <c r="H14" s="1"/>
    </row>
    <row r="15" spans="1:8">
      <c r="A15" s="5"/>
      <c r="B15" s="5">
        <v>500</v>
      </c>
      <c r="C15" s="5"/>
      <c r="D15" s="5" t="s">
        <v>145</v>
      </c>
      <c r="E15" s="3">
        <v>30</v>
      </c>
      <c r="F15" s="4">
        <f t="shared" si="0"/>
        <v>15</v>
      </c>
      <c r="G15" s="1"/>
      <c r="H15" s="1"/>
    </row>
    <row r="16" spans="1:8">
      <c r="A16" s="5"/>
      <c r="B16" s="5">
        <v>500</v>
      </c>
      <c r="C16" s="5" t="s">
        <v>14</v>
      </c>
      <c r="D16" s="5" t="s">
        <v>62</v>
      </c>
      <c r="E16" s="3">
        <v>40</v>
      </c>
      <c r="F16" s="4">
        <f t="shared" si="0"/>
        <v>20</v>
      </c>
      <c r="G16" s="1"/>
      <c r="H16" s="1"/>
    </row>
    <row r="17" spans="1:8">
      <c r="A17" s="8"/>
      <c r="B17" s="8"/>
      <c r="C17" s="8"/>
      <c r="D17" s="8"/>
      <c r="E17" s="6"/>
      <c r="F17" s="7"/>
      <c r="G17" s="6"/>
      <c r="H17" s="1"/>
    </row>
    <row r="18" spans="1:8">
      <c r="A18" s="2">
        <v>41963</v>
      </c>
      <c r="B18" s="5">
        <v>220</v>
      </c>
      <c r="C18" s="5" t="s">
        <v>146</v>
      </c>
      <c r="D18" s="5" t="s">
        <v>147</v>
      </c>
      <c r="E18" s="3">
        <v>25</v>
      </c>
      <c r="F18" s="4">
        <f t="shared" si="0"/>
        <v>5.5</v>
      </c>
      <c r="G18" s="1"/>
      <c r="H18" s="1"/>
    </row>
    <row r="19" spans="1:8">
      <c r="A19" s="5" t="s">
        <v>84</v>
      </c>
      <c r="B19" s="5">
        <v>220</v>
      </c>
      <c r="C19" s="5"/>
      <c r="D19" s="5" t="s">
        <v>32</v>
      </c>
      <c r="E19" s="3">
        <v>40</v>
      </c>
      <c r="F19" s="4">
        <f t="shared" si="0"/>
        <v>8.8000000000000007</v>
      </c>
      <c r="G19" s="1"/>
      <c r="H19" s="1"/>
    </row>
    <row r="20" spans="1:8">
      <c r="A20" s="5" t="s">
        <v>8</v>
      </c>
      <c r="B20" s="5">
        <v>220</v>
      </c>
      <c r="C20" s="5"/>
      <c r="D20" s="5" t="s">
        <v>65</v>
      </c>
      <c r="E20" s="3">
        <v>2</v>
      </c>
      <c r="F20" s="4">
        <f t="shared" si="0"/>
        <v>0.44</v>
      </c>
      <c r="G20" s="1"/>
      <c r="H20" s="1"/>
    </row>
    <row r="21" spans="1:8">
      <c r="A21" s="5"/>
      <c r="B21" s="5">
        <v>220</v>
      </c>
      <c r="C21" s="5"/>
      <c r="D21" s="5" t="s">
        <v>148</v>
      </c>
      <c r="E21" s="3">
        <v>5</v>
      </c>
      <c r="F21" s="4">
        <f t="shared" si="0"/>
        <v>1.1000000000000001</v>
      </c>
      <c r="G21" s="1"/>
      <c r="H21" s="1"/>
    </row>
    <row r="22" spans="1:8">
      <c r="A22" s="5"/>
      <c r="B22" s="5">
        <v>220</v>
      </c>
      <c r="C22" s="5" t="s">
        <v>149</v>
      </c>
      <c r="D22" s="5" t="s">
        <v>150</v>
      </c>
      <c r="E22" s="3">
        <v>30</v>
      </c>
      <c r="F22" s="4">
        <f t="shared" si="0"/>
        <v>6.6</v>
      </c>
      <c r="G22" s="1"/>
      <c r="H22" s="1"/>
    </row>
    <row r="23" spans="1:8">
      <c r="A23" s="5"/>
      <c r="B23" s="5">
        <v>220</v>
      </c>
      <c r="C23" s="5"/>
      <c r="D23" s="5" t="s">
        <v>151</v>
      </c>
      <c r="E23" s="3">
        <v>30</v>
      </c>
      <c r="F23" s="4">
        <f t="shared" si="0"/>
        <v>6.6</v>
      </c>
      <c r="G23" s="1"/>
      <c r="H23" s="1"/>
    </row>
    <row r="24" spans="1:8">
      <c r="A24" s="5"/>
      <c r="B24" s="5">
        <v>220</v>
      </c>
      <c r="C24" s="5"/>
      <c r="D24" s="5" t="s">
        <v>66</v>
      </c>
      <c r="E24" s="3">
        <v>5</v>
      </c>
      <c r="F24" s="4">
        <f>(B24*E24)/1000</f>
        <v>1.1000000000000001</v>
      </c>
      <c r="G24" s="1"/>
      <c r="H24" s="1"/>
    </row>
    <row r="25" spans="1:8">
      <c r="A25" s="5"/>
      <c r="B25" s="5">
        <v>220</v>
      </c>
      <c r="C25" s="5"/>
      <c r="D25" s="5" t="s">
        <v>13</v>
      </c>
      <c r="E25" s="3">
        <v>10</v>
      </c>
      <c r="F25" s="4">
        <f>(B23*E25)/1000</f>
        <v>2.2000000000000002</v>
      </c>
      <c r="G25" s="1"/>
      <c r="H25" s="1"/>
    </row>
    <row r="26" spans="1:8">
      <c r="A26" s="5"/>
      <c r="B26" s="5">
        <v>220</v>
      </c>
      <c r="C26" s="5"/>
      <c r="D26" s="5" t="s">
        <v>152</v>
      </c>
      <c r="E26" s="3">
        <v>10</v>
      </c>
      <c r="F26" s="4">
        <f>(B24*E26)/1000</f>
        <v>2.2000000000000002</v>
      </c>
      <c r="G26" s="1"/>
      <c r="H26" s="1"/>
    </row>
    <row r="27" spans="1:8">
      <c r="A27" s="5"/>
      <c r="B27" s="5">
        <v>220</v>
      </c>
      <c r="C27" s="5" t="s">
        <v>153</v>
      </c>
      <c r="D27" s="5" t="s">
        <v>154</v>
      </c>
      <c r="E27" s="3">
        <v>30</v>
      </c>
      <c r="F27" s="4">
        <f>(B25*E27)/1000</f>
        <v>6.6</v>
      </c>
      <c r="G27" s="1"/>
      <c r="H27" s="1"/>
    </row>
    <row r="28" spans="1:8">
      <c r="A28" s="5"/>
      <c r="B28" s="5">
        <v>220</v>
      </c>
      <c r="C28" s="5"/>
      <c r="D28" s="5" t="s">
        <v>155</v>
      </c>
      <c r="E28" s="3">
        <v>5</v>
      </c>
      <c r="F28" s="4">
        <f>(B26*E28)/1000</f>
        <v>1.1000000000000001</v>
      </c>
      <c r="G28" s="1"/>
      <c r="H28" s="1"/>
    </row>
    <row r="29" spans="1:8">
      <c r="A29" s="5"/>
      <c r="B29" s="5">
        <v>220</v>
      </c>
      <c r="C29" s="5" t="s">
        <v>62</v>
      </c>
      <c r="D29" s="5" t="s">
        <v>14</v>
      </c>
      <c r="E29" s="3">
        <v>40</v>
      </c>
      <c r="F29" s="4">
        <f>(B29*E29)/1000</f>
        <v>8.8000000000000007</v>
      </c>
      <c r="G29" s="1"/>
      <c r="H29" s="1"/>
    </row>
    <row r="30" spans="1:8">
      <c r="A30" s="8"/>
      <c r="B30" s="8"/>
      <c r="C30" s="8"/>
      <c r="D30" s="8"/>
      <c r="E30" s="6"/>
      <c r="F30" s="6"/>
      <c r="G30" s="6"/>
      <c r="H30" s="1"/>
    </row>
    <row r="31" spans="1:8">
      <c r="A31" s="2">
        <v>41963</v>
      </c>
      <c r="B31" s="5">
        <v>450</v>
      </c>
      <c r="C31" s="5" t="s">
        <v>87</v>
      </c>
      <c r="D31" s="5" t="s">
        <v>88</v>
      </c>
      <c r="E31" s="3">
        <v>2</v>
      </c>
      <c r="F31" s="4">
        <f>(B31*E31)/1000</f>
        <v>0.9</v>
      </c>
      <c r="G31" s="1"/>
      <c r="H31" s="1"/>
    </row>
    <row r="32" spans="1:8">
      <c r="A32" s="5" t="s">
        <v>84</v>
      </c>
      <c r="B32" s="5">
        <v>450</v>
      </c>
      <c r="C32" s="5" t="s">
        <v>89</v>
      </c>
      <c r="D32" s="5" t="s">
        <v>90</v>
      </c>
      <c r="E32" s="3">
        <v>30</v>
      </c>
      <c r="F32" s="4">
        <f t="shared" ref="F32:F43" si="1">(B32*E32)/1000</f>
        <v>13.5</v>
      </c>
      <c r="G32" s="1"/>
      <c r="H32" s="1"/>
    </row>
    <row r="33" spans="1:8">
      <c r="A33" s="5" t="s">
        <v>16</v>
      </c>
      <c r="B33" s="5">
        <v>450</v>
      </c>
      <c r="C33" s="5"/>
      <c r="D33" s="5" t="s">
        <v>11</v>
      </c>
      <c r="E33" s="3">
        <v>25</v>
      </c>
      <c r="F33" s="4">
        <f t="shared" si="1"/>
        <v>11.25</v>
      </c>
      <c r="G33" s="1"/>
      <c r="H33" s="1"/>
    </row>
    <row r="34" spans="1:8">
      <c r="A34" s="5"/>
      <c r="B34" s="5">
        <v>450</v>
      </c>
      <c r="C34" s="5"/>
      <c r="D34" s="5" t="s">
        <v>91</v>
      </c>
      <c r="E34" s="3">
        <v>0</v>
      </c>
      <c r="F34" s="4">
        <f t="shared" si="1"/>
        <v>0</v>
      </c>
      <c r="G34" s="1"/>
      <c r="H34" s="1"/>
    </row>
    <row r="35" spans="1:8">
      <c r="A35" s="5"/>
      <c r="B35" s="5">
        <v>450</v>
      </c>
      <c r="C35" s="5"/>
      <c r="D35" s="5" t="s">
        <v>13</v>
      </c>
      <c r="E35" s="3">
        <v>10</v>
      </c>
      <c r="F35" s="4">
        <f t="shared" si="1"/>
        <v>4.5</v>
      </c>
      <c r="G35" s="1" t="s">
        <v>35</v>
      </c>
      <c r="H35" s="1"/>
    </row>
    <row r="36" spans="1:8">
      <c r="A36" s="5"/>
      <c r="B36" s="5">
        <v>450</v>
      </c>
      <c r="C36" s="5" t="s">
        <v>92</v>
      </c>
      <c r="D36" s="5" t="s">
        <v>93</v>
      </c>
      <c r="E36" s="3">
        <v>150</v>
      </c>
      <c r="F36" s="4">
        <f t="shared" si="1"/>
        <v>67.5</v>
      </c>
      <c r="G36" s="1"/>
      <c r="H36" s="1"/>
    </row>
    <row r="37" spans="1:8">
      <c r="A37" s="5"/>
      <c r="B37" s="5">
        <v>450</v>
      </c>
      <c r="C37" s="5"/>
      <c r="D37" s="5" t="s">
        <v>156</v>
      </c>
      <c r="E37" s="3">
        <v>20</v>
      </c>
      <c r="F37" s="4">
        <f t="shared" si="1"/>
        <v>9</v>
      </c>
      <c r="G37" s="1"/>
      <c r="H37" s="1"/>
    </row>
    <row r="38" spans="1:8">
      <c r="A38" s="5"/>
      <c r="B38" s="5">
        <v>450</v>
      </c>
      <c r="C38" s="5"/>
      <c r="D38" s="5" t="s">
        <v>66</v>
      </c>
      <c r="E38" s="3">
        <v>10</v>
      </c>
      <c r="F38" s="4">
        <f t="shared" si="1"/>
        <v>4.5</v>
      </c>
      <c r="G38" s="1"/>
      <c r="H38" s="1"/>
    </row>
    <row r="39" spans="1:8">
      <c r="A39" s="5"/>
      <c r="B39" s="5">
        <v>450</v>
      </c>
      <c r="C39" s="5"/>
      <c r="D39" s="5" t="s">
        <v>94</v>
      </c>
      <c r="E39" s="3">
        <v>15</v>
      </c>
      <c r="F39" s="4">
        <f t="shared" si="1"/>
        <v>6.75</v>
      </c>
      <c r="G39" s="1"/>
      <c r="H39" s="1"/>
    </row>
    <row r="40" spans="1:8">
      <c r="A40" s="5"/>
      <c r="B40" s="5">
        <v>450</v>
      </c>
      <c r="C40" s="5"/>
      <c r="D40" s="5" t="s">
        <v>95</v>
      </c>
      <c r="E40" s="3">
        <v>1</v>
      </c>
      <c r="F40" s="4">
        <f t="shared" si="1"/>
        <v>0.45</v>
      </c>
      <c r="G40" s="1"/>
      <c r="H40" s="1"/>
    </row>
    <row r="41" spans="1:8">
      <c r="A41" s="5"/>
      <c r="B41" s="5">
        <v>450</v>
      </c>
      <c r="C41" s="12" t="s">
        <v>98</v>
      </c>
      <c r="D41" s="5" t="s">
        <v>97</v>
      </c>
      <c r="E41" s="3">
        <v>40</v>
      </c>
      <c r="F41" s="4">
        <f t="shared" si="1"/>
        <v>18</v>
      </c>
      <c r="G41" s="1"/>
      <c r="H41" s="1"/>
    </row>
    <row r="42" spans="1:8">
      <c r="A42" s="5"/>
      <c r="B42" s="5">
        <v>450</v>
      </c>
      <c r="C42" s="5"/>
      <c r="D42" s="11" t="s">
        <v>99</v>
      </c>
      <c r="E42" s="3">
        <v>10</v>
      </c>
      <c r="F42" s="4">
        <f t="shared" si="1"/>
        <v>4.5</v>
      </c>
      <c r="G42" s="1"/>
      <c r="H42" s="1"/>
    </row>
    <row r="43" spans="1:8">
      <c r="A43" s="5"/>
      <c r="B43" s="5">
        <v>450</v>
      </c>
      <c r="C43" s="5" t="s">
        <v>14</v>
      </c>
      <c r="D43" s="5" t="s">
        <v>14</v>
      </c>
      <c r="E43" s="3">
        <v>40</v>
      </c>
      <c r="F43" s="4">
        <f t="shared" si="1"/>
        <v>18</v>
      </c>
      <c r="G43" s="1"/>
      <c r="H43" s="1"/>
    </row>
    <row r="44" spans="1:8">
      <c r="H44" s="1"/>
    </row>
    <row r="45" spans="1:8">
      <c r="H45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2014-11-11T14:00:39Z</cp:lastPrinted>
  <dcterms:created xsi:type="dcterms:W3CDTF">2014-03-31T21:06:25Z</dcterms:created>
  <dcterms:modified xsi:type="dcterms:W3CDTF">2014-11-11T14:03:56Z</dcterms:modified>
</cp:coreProperties>
</file>