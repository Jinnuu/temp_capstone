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23715" windowHeight="9825" activeTab="7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1)" sheetId="10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(1)'!$A$2:$G$2</definedName>
    <definedName name="_xlnm._FilterDatabase" localSheetId="2" hidden="1">화!$A$2:$G$2</definedName>
  </definedNames>
  <calcPr calcId="124519"/>
</workbook>
</file>

<file path=xl/calcChain.xml><?xml version="1.0" encoding="utf-8"?>
<calcChain xmlns="http://schemas.openxmlformats.org/spreadsheetml/2006/main">
  <c r="F17" i="10"/>
  <c r="F16"/>
  <c r="F15"/>
  <c r="F14"/>
  <c r="F13"/>
  <c r="F12"/>
  <c r="F11"/>
  <c r="F10"/>
  <c r="F9"/>
  <c r="F4"/>
  <c r="F5"/>
  <c r="F6"/>
  <c r="F7"/>
  <c r="F8"/>
  <c r="F3"/>
  <c r="F19" i="9"/>
  <c r="F34"/>
  <c r="F33"/>
  <c r="F36"/>
  <c r="F35"/>
  <c r="F32"/>
  <c r="F31"/>
  <c r="F30"/>
  <c r="F29"/>
  <c r="F28"/>
  <c r="F27"/>
  <c r="F26"/>
  <c r="F25"/>
  <c r="F23"/>
  <c r="F20"/>
  <c r="F17"/>
  <c r="F18"/>
  <c r="F21"/>
  <c r="F22"/>
  <c r="F16"/>
  <c r="F11"/>
  <c r="F10"/>
  <c r="F9"/>
  <c r="F8"/>
  <c r="F7"/>
  <c r="F6"/>
  <c r="F5"/>
  <c r="F4"/>
  <c r="F3"/>
  <c r="F34" i="8"/>
  <c r="F33"/>
  <c r="F32"/>
  <c r="F31"/>
  <c r="F30"/>
  <c r="F29"/>
  <c r="F28"/>
  <c r="F27"/>
  <c r="F26"/>
  <c r="F25"/>
  <c r="F24"/>
  <c r="F23"/>
  <c r="F21"/>
  <c r="F20"/>
  <c r="F19"/>
  <c r="F18"/>
  <c r="F17"/>
  <c r="F16"/>
  <c r="F14"/>
  <c r="F13"/>
  <c r="F8"/>
  <c r="F7"/>
  <c r="F4"/>
  <c r="F5"/>
  <c r="F6"/>
  <c r="F9"/>
  <c r="F3"/>
  <c r="F36" i="7"/>
  <c r="F29"/>
  <c r="F30"/>
  <c r="F31"/>
  <c r="F32"/>
  <c r="F33"/>
  <c r="F34"/>
  <c r="F35"/>
  <c r="F28"/>
  <c r="F27"/>
  <c r="F23"/>
  <c r="F18"/>
  <c r="F19"/>
  <c r="F20"/>
  <c r="F21"/>
  <c r="F22"/>
  <c r="F24"/>
  <c r="F26"/>
  <c r="F14"/>
  <c r="F13"/>
  <c r="F12"/>
  <c r="F11"/>
  <c r="F5"/>
  <c r="F6"/>
  <c r="F7"/>
  <c r="F8"/>
  <c r="F9"/>
  <c r="F10"/>
  <c r="F15"/>
  <c r="F16"/>
  <c r="F4"/>
  <c r="F30" i="6"/>
  <c r="F21"/>
  <c r="F22"/>
  <c r="F23"/>
  <c r="F24"/>
  <c r="F25"/>
  <c r="F26"/>
  <c r="F27"/>
  <c r="F28"/>
  <c r="F29"/>
  <c r="F14"/>
  <c r="F15"/>
  <c r="F16"/>
  <c r="F17"/>
  <c r="F18"/>
  <c r="F19"/>
  <c r="F12"/>
  <c r="F11"/>
  <c r="F10"/>
  <c r="F9"/>
  <c r="F8"/>
  <c r="F5"/>
  <c r="F6"/>
  <c r="F7"/>
  <c r="F4"/>
  <c r="F35" i="5"/>
  <c r="F26"/>
  <c r="F27"/>
  <c r="F28"/>
  <c r="F29"/>
  <c r="F30"/>
  <c r="F31"/>
  <c r="F32"/>
  <c r="F33"/>
  <c r="F34"/>
  <c r="F36"/>
  <c r="F37"/>
  <c r="F23"/>
  <c r="F24"/>
  <c r="F22"/>
  <c r="F19"/>
  <c r="F20"/>
  <c r="F21"/>
  <c r="F17"/>
  <c r="F18"/>
  <c r="F13"/>
  <c r="F12"/>
  <c r="F11"/>
  <c r="F10"/>
  <c r="F4"/>
  <c r="F5"/>
  <c r="F6"/>
  <c r="F7"/>
  <c r="F8"/>
  <c r="F9"/>
  <c r="F14"/>
  <c r="F3"/>
  <c r="F36" i="4"/>
  <c r="F33"/>
  <c r="F32"/>
  <c r="F25"/>
  <c r="F26"/>
  <c r="F27"/>
  <c r="F28"/>
  <c r="F29"/>
  <c r="F30"/>
  <c r="F31"/>
  <c r="F34"/>
  <c r="F35"/>
  <c r="F37"/>
  <c r="F22"/>
  <c r="F20"/>
  <c r="F19"/>
  <c r="F16"/>
  <c r="F17"/>
  <c r="F18"/>
  <c r="F21"/>
  <c r="F23"/>
  <c r="F10"/>
  <c r="F5"/>
  <c r="F4"/>
  <c r="F6"/>
  <c r="F7"/>
  <c r="F8"/>
  <c r="F9"/>
  <c r="F11"/>
  <c r="F12"/>
  <c r="F13"/>
  <c r="F14"/>
  <c r="F3"/>
  <c r="F26" i="1"/>
  <c r="F25"/>
  <c r="F24"/>
  <c r="F23"/>
  <c r="F22"/>
  <c r="F21"/>
  <c r="F20"/>
  <c r="F19"/>
  <c r="F12"/>
  <c r="F13"/>
  <c r="F14"/>
  <c r="F15"/>
  <c r="F16"/>
  <c r="F17"/>
  <c r="F18"/>
  <c r="F9"/>
  <c r="F8"/>
  <c r="F4"/>
  <c r="F5"/>
  <c r="F6"/>
  <c r="F7"/>
  <c r="F10"/>
  <c r="F3"/>
</calcChain>
</file>

<file path=xl/sharedStrings.xml><?xml version="1.0" encoding="utf-8"?>
<sst xmlns="http://schemas.openxmlformats.org/spreadsheetml/2006/main" count="458" uniqueCount="286">
  <si>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</si>
  <si>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</si>
  <si>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</si>
  <si>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</si>
  <si>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총량</t>
    <phoneticPr fontId="1" type="noConversion"/>
  </si>
  <si>
    <t>비고</t>
    <phoneticPr fontId="1" type="noConversion"/>
  </si>
  <si>
    <t>콩국</t>
    <phoneticPr fontId="1" type="noConversion"/>
  </si>
  <si>
    <t>콩가루</t>
    <phoneticPr fontId="1" type="noConversion"/>
  </si>
  <si>
    <t>월</t>
    <phoneticPr fontId="1" type="noConversion"/>
  </si>
  <si>
    <t>맛김치</t>
    <phoneticPr fontId="1" type="noConversion"/>
  </si>
  <si>
    <t>조식</t>
    <phoneticPr fontId="1" type="noConversion"/>
  </si>
  <si>
    <t>대파</t>
    <phoneticPr fontId="1" type="noConversion"/>
  </si>
  <si>
    <t>달걀</t>
    <phoneticPr fontId="1" type="noConversion"/>
  </si>
  <si>
    <t>배추김치</t>
    <phoneticPr fontId="1" type="noConversion"/>
  </si>
  <si>
    <t>서리태밥</t>
    <phoneticPr fontId="1" type="noConversion"/>
  </si>
  <si>
    <t>서리태</t>
    <phoneticPr fontId="1" type="noConversion"/>
  </si>
  <si>
    <t>미역국</t>
    <phoneticPr fontId="1" type="noConversion"/>
  </si>
  <si>
    <t>건미역</t>
    <phoneticPr fontId="1" type="noConversion"/>
  </si>
  <si>
    <t>2봉</t>
    <phoneticPr fontId="1" type="noConversion"/>
  </si>
  <si>
    <t>중식</t>
    <phoneticPr fontId="1" type="noConversion"/>
  </si>
  <si>
    <t>우둔</t>
    <phoneticPr fontId="1" type="noConversion"/>
  </si>
  <si>
    <t>우둔불고기</t>
    <phoneticPr fontId="1" type="noConversion"/>
  </si>
  <si>
    <t>팽이버섯</t>
    <phoneticPr fontId="1" type="noConversion"/>
  </si>
  <si>
    <t>느타리버섯</t>
    <phoneticPr fontId="1" type="noConversion"/>
  </si>
  <si>
    <t>당근</t>
    <phoneticPr fontId="1" type="noConversion"/>
  </si>
  <si>
    <t>양파</t>
    <phoneticPr fontId="1" type="noConversion"/>
  </si>
  <si>
    <t>참치큐브샐러드</t>
    <phoneticPr fontId="1" type="noConversion"/>
  </si>
  <si>
    <t>참치큐브</t>
    <phoneticPr fontId="1" type="noConversion"/>
  </si>
  <si>
    <t>양상추</t>
    <phoneticPr fontId="1" type="noConversion"/>
  </si>
  <si>
    <t>적채</t>
    <phoneticPr fontId="1" type="noConversion"/>
  </si>
  <si>
    <t>방울토마토</t>
    <phoneticPr fontId="1" type="noConversion"/>
  </si>
  <si>
    <t>유자드레싱</t>
    <phoneticPr fontId="1" type="noConversion"/>
  </si>
  <si>
    <t>꽈리고추</t>
    <phoneticPr fontId="1" type="noConversion"/>
  </si>
  <si>
    <t>차조밥</t>
    <phoneticPr fontId="1" type="noConversion"/>
  </si>
  <si>
    <t>차조</t>
    <phoneticPr fontId="1" type="noConversion"/>
  </si>
  <si>
    <t>월</t>
    <phoneticPr fontId="1" type="noConversion"/>
  </si>
  <si>
    <t>아욱</t>
    <phoneticPr fontId="1" type="noConversion"/>
  </si>
  <si>
    <t>양파,대파적당량</t>
    <phoneticPr fontId="1" type="noConversion"/>
  </si>
  <si>
    <t>석식</t>
    <phoneticPr fontId="1" type="noConversion"/>
  </si>
  <si>
    <t>코다리조림</t>
    <phoneticPr fontId="1" type="noConversion"/>
  </si>
  <si>
    <t>코다리</t>
    <phoneticPr fontId="1" type="noConversion"/>
  </si>
  <si>
    <t>무</t>
    <phoneticPr fontId="1" type="noConversion"/>
  </si>
  <si>
    <t>감자</t>
    <phoneticPr fontId="1" type="noConversion"/>
  </si>
  <si>
    <t>실곤약무침</t>
    <phoneticPr fontId="1" type="noConversion"/>
  </si>
  <si>
    <t>실곤약</t>
    <phoneticPr fontId="1" type="noConversion"/>
  </si>
  <si>
    <t>당근</t>
    <phoneticPr fontId="1" type="noConversion"/>
  </si>
  <si>
    <t>배추김치</t>
    <phoneticPr fontId="1" type="noConversion"/>
  </si>
  <si>
    <t>쇠고기무국</t>
    <phoneticPr fontId="1" type="noConversion"/>
  </si>
  <si>
    <t>우둔국거리용</t>
    <phoneticPr fontId="1" type="noConversion"/>
  </si>
  <si>
    <t>화</t>
    <phoneticPr fontId="1" type="noConversion"/>
  </si>
  <si>
    <t>조식</t>
    <phoneticPr fontId="1" type="noConversion"/>
  </si>
  <si>
    <t>두부조림</t>
    <phoneticPr fontId="1" type="noConversion"/>
  </si>
  <si>
    <t>두부</t>
    <phoneticPr fontId="1" type="noConversion"/>
  </si>
  <si>
    <t>무말랭이무침</t>
    <phoneticPr fontId="1" type="noConversion"/>
  </si>
  <si>
    <t>무말랭이</t>
    <phoneticPr fontId="1" type="noConversion"/>
  </si>
  <si>
    <t>사과</t>
    <phoneticPr fontId="1" type="noConversion"/>
  </si>
  <si>
    <t>후지</t>
    <phoneticPr fontId="1" type="noConversion"/>
  </si>
  <si>
    <t>양배추</t>
    <phoneticPr fontId="1" type="noConversion"/>
  </si>
  <si>
    <t>오이</t>
    <phoneticPr fontId="1" type="noConversion"/>
  </si>
  <si>
    <t>노랑파프리카/양파</t>
    <phoneticPr fontId="1" type="noConversion"/>
  </si>
  <si>
    <t>흑미밥</t>
    <phoneticPr fontId="1" type="noConversion"/>
  </si>
  <si>
    <t>화</t>
    <phoneticPr fontId="1" type="noConversion"/>
  </si>
  <si>
    <t>통닭</t>
    <phoneticPr fontId="1" type="noConversion"/>
  </si>
  <si>
    <t>석식</t>
    <phoneticPr fontId="1" type="noConversion"/>
  </si>
  <si>
    <t>떡국떡</t>
    <phoneticPr fontId="1" type="noConversion"/>
  </si>
  <si>
    <t>무</t>
    <phoneticPr fontId="1" type="noConversion"/>
  </si>
  <si>
    <t>배추김치</t>
    <phoneticPr fontId="1" type="noConversion"/>
  </si>
  <si>
    <t>맛김치</t>
    <phoneticPr fontId="1" type="noConversion"/>
  </si>
  <si>
    <t>알탕</t>
    <phoneticPr fontId="1" type="noConversion"/>
  </si>
  <si>
    <t>수</t>
    <phoneticPr fontId="1" type="noConversion"/>
  </si>
  <si>
    <t>쑥갓</t>
    <phoneticPr fontId="1" type="noConversion"/>
  </si>
  <si>
    <t>콩나물무침</t>
    <phoneticPr fontId="1" type="noConversion"/>
  </si>
  <si>
    <t>콩나물</t>
    <phoneticPr fontId="1" type="noConversion"/>
  </si>
  <si>
    <t>배추김치</t>
    <phoneticPr fontId="1" type="noConversion"/>
  </si>
  <si>
    <t>우유</t>
    <phoneticPr fontId="1" type="noConversion"/>
  </si>
  <si>
    <t>수제돈까스</t>
    <phoneticPr fontId="1" type="noConversion"/>
  </si>
  <si>
    <t>수제돈까스</t>
    <phoneticPr fontId="1" type="noConversion"/>
  </si>
  <si>
    <t>중식</t>
    <phoneticPr fontId="1" type="noConversion"/>
  </si>
  <si>
    <t>돈가스소스</t>
    <phoneticPr fontId="1" type="noConversion"/>
  </si>
  <si>
    <t>양송이버섯캔</t>
    <phoneticPr fontId="1" type="noConversion"/>
  </si>
  <si>
    <t>당근/양파 각</t>
    <phoneticPr fontId="1" type="noConversion"/>
  </si>
  <si>
    <t>마카로니샐러드</t>
    <phoneticPr fontId="1" type="noConversion"/>
  </si>
  <si>
    <t>마카로니</t>
    <phoneticPr fontId="1" type="noConversion"/>
  </si>
  <si>
    <t xml:space="preserve">옥수수캔 </t>
    <phoneticPr fontId="1" type="noConversion"/>
  </si>
  <si>
    <t>쵸핑햄</t>
    <phoneticPr fontId="1" type="noConversion"/>
  </si>
  <si>
    <t>맛살</t>
    <phoneticPr fontId="1" type="noConversion"/>
  </si>
  <si>
    <t>마요네즈</t>
    <phoneticPr fontId="1" type="noConversion"/>
  </si>
  <si>
    <t>시금치</t>
    <phoneticPr fontId="1" type="noConversion"/>
  </si>
  <si>
    <t>동태곤이/동태알 각</t>
    <phoneticPr fontId="1" type="noConversion"/>
  </si>
  <si>
    <t>수</t>
    <phoneticPr fontId="1" type="noConversion"/>
  </si>
  <si>
    <t>조식</t>
    <phoneticPr fontId="1" type="noConversion"/>
  </si>
  <si>
    <t>보리밥</t>
    <phoneticPr fontId="1" type="noConversion"/>
  </si>
  <si>
    <t>보리</t>
    <phoneticPr fontId="1" type="noConversion"/>
  </si>
  <si>
    <t>김치찌개</t>
    <phoneticPr fontId="1" type="noConversion"/>
  </si>
  <si>
    <t>두부</t>
    <phoneticPr fontId="1" type="noConversion"/>
  </si>
  <si>
    <t>참치캔</t>
    <phoneticPr fontId="1" type="noConversion"/>
  </si>
  <si>
    <t>양파,대파적당량</t>
    <phoneticPr fontId="1" type="noConversion"/>
  </si>
  <si>
    <t>돈육떡강정</t>
    <phoneticPr fontId="1" type="noConversion"/>
  </si>
  <si>
    <t>실속탕수육</t>
    <phoneticPr fontId="1" type="noConversion"/>
  </si>
  <si>
    <t>떡튀김</t>
    <phoneticPr fontId="1" type="noConversion"/>
  </si>
  <si>
    <t>양념치킨소스</t>
    <phoneticPr fontId="1" type="noConversion"/>
  </si>
  <si>
    <t>깐땅콩</t>
    <phoneticPr fontId="1" type="noConversion"/>
  </si>
  <si>
    <t>열무나물</t>
    <phoneticPr fontId="1" type="noConversion"/>
  </si>
  <si>
    <t>호박된장찌개</t>
    <phoneticPr fontId="1" type="noConversion"/>
  </si>
  <si>
    <t>호박</t>
    <phoneticPr fontId="1" type="noConversion"/>
  </si>
  <si>
    <t>목</t>
    <phoneticPr fontId="1" type="noConversion"/>
  </si>
  <si>
    <t>조식</t>
    <phoneticPr fontId="1" type="noConversion"/>
  </si>
  <si>
    <t>감자</t>
    <phoneticPr fontId="1" type="noConversion"/>
  </si>
  <si>
    <t>가자미구이</t>
    <phoneticPr fontId="1" type="noConversion"/>
  </si>
  <si>
    <t>가자미</t>
    <phoneticPr fontId="1" type="noConversion"/>
  </si>
  <si>
    <t>오이무침</t>
    <phoneticPr fontId="1" type="noConversion"/>
  </si>
  <si>
    <t>오이</t>
    <phoneticPr fontId="1" type="noConversion"/>
  </si>
  <si>
    <t>근대</t>
    <phoneticPr fontId="1" type="noConversion"/>
  </si>
  <si>
    <t>기장밥</t>
    <phoneticPr fontId="1" type="noConversion"/>
  </si>
  <si>
    <t>기장</t>
    <phoneticPr fontId="1" type="noConversion"/>
  </si>
  <si>
    <t>얼갈이된장국</t>
    <phoneticPr fontId="1" type="noConversion"/>
  </si>
  <si>
    <t>얼갈이</t>
    <phoneticPr fontId="1" type="noConversion"/>
  </si>
  <si>
    <t>양파</t>
    <phoneticPr fontId="1" type="noConversion"/>
  </si>
  <si>
    <t>오리훈제구이</t>
    <phoneticPr fontId="1" type="noConversion"/>
  </si>
  <si>
    <t>오리훈제</t>
    <phoneticPr fontId="1" type="noConversion"/>
  </si>
  <si>
    <t>머스터드소스</t>
    <phoneticPr fontId="1" type="noConversion"/>
  </si>
  <si>
    <t>부추야채무침</t>
    <phoneticPr fontId="1" type="noConversion"/>
  </si>
  <si>
    <t>부추</t>
    <phoneticPr fontId="1" type="noConversion"/>
  </si>
  <si>
    <t>적채</t>
    <phoneticPr fontId="1" type="noConversion"/>
  </si>
  <si>
    <t>당근</t>
    <phoneticPr fontId="1" type="noConversion"/>
  </si>
  <si>
    <t>수수밥</t>
    <phoneticPr fontId="1" type="noConversion"/>
  </si>
  <si>
    <t>부대찌개</t>
    <phoneticPr fontId="1" type="noConversion"/>
  </si>
  <si>
    <t>깻잎찜</t>
    <phoneticPr fontId="1" type="noConversion"/>
  </si>
  <si>
    <t>수수</t>
    <phoneticPr fontId="1" type="noConversion"/>
  </si>
  <si>
    <t>부대찌개햄</t>
    <phoneticPr fontId="1" type="noConversion"/>
  </si>
  <si>
    <t>깻잎</t>
    <phoneticPr fontId="1" type="noConversion"/>
  </si>
  <si>
    <t>금</t>
    <phoneticPr fontId="1" type="noConversion"/>
  </si>
  <si>
    <t>매콤콩나물국</t>
    <phoneticPr fontId="1" type="noConversion"/>
  </si>
  <si>
    <t>스팸달걀찜</t>
    <phoneticPr fontId="1" type="noConversion"/>
  </si>
  <si>
    <t>깍두기</t>
    <phoneticPr fontId="1" type="noConversion"/>
  </si>
  <si>
    <t>콩나물</t>
    <phoneticPr fontId="1" type="noConversion"/>
  </si>
  <si>
    <t>스팸</t>
    <phoneticPr fontId="1" type="noConversion"/>
  </si>
  <si>
    <t>애호박</t>
    <phoneticPr fontId="1" type="noConversion"/>
  </si>
  <si>
    <t>우육채</t>
    <phoneticPr fontId="1" type="noConversion"/>
  </si>
  <si>
    <t>부들어묵탕</t>
    <phoneticPr fontId="1" type="noConversion"/>
  </si>
  <si>
    <t>닭갈비</t>
    <phoneticPr fontId="1" type="noConversion"/>
  </si>
  <si>
    <t>미역초무침</t>
    <phoneticPr fontId="1" type="noConversion"/>
  </si>
  <si>
    <t>홍고추적당량</t>
    <phoneticPr fontId="1" type="noConversion"/>
  </si>
  <si>
    <t>부들어묵</t>
    <phoneticPr fontId="1" type="noConversion"/>
  </si>
  <si>
    <t>닭가슴살</t>
    <phoneticPr fontId="1" type="noConversion"/>
  </si>
  <si>
    <t>고구마</t>
    <phoneticPr fontId="1" type="noConversion"/>
  </si>
  <si>
    <t>떡볶이떡</t>
    <phoneticPr fontId="1" type="noConversion"/>
  </si>
  <si>
    <t>양파적당량</t>
    <phoneticPr fontId="1" type="noConversion"/>
  </si>
  <si>
    <t>토</t>
    <phoneticPr fontId="1" type="noConversion"/>
  </si>
  <si>
    <t>달걀국</t>
    <phoneticPr fontId="1" type="noConversion"/>
  </si>
  <si>
    <t>기장밥</t>
    <phoneticPr fontId="1" type="noConversion"/>
  </si>
  <si>
    <t>사골우거지국</t>
    <phoneticPr fontId="1" type="noConversion"/>
  </si>
  <si>
    <t>모듬장조림</t>
    <phoneticPr fontId="1" type="noConversion"/>
  </si>
  <si>
    <t>새송이버섯볶음</t>
    <phoneticPr fontId="1" type="noConversion"/>
  </si>
  <si>
    <t>사골엑기스</t>
    <phoneticPr fontId="1" type="noConversion"/>
  </si>
  <si>
    <t>콩나물</t>
    <phoneticPr fontId="1" type="noConversion"/>
  </si>
  <si>
    <t>얼갈이</t>
    <phoneticPr fontId="1" type="noConversion"/>
  </si>
  <si>
    <t>돈육장조림</t>
    <phoneticPr fontId="1" type="noConversion"/>
  </si>
  <si>
    <t>메추리알</t>
    <phoneticPr fontId="1" type="noConversion"/>
  </si>
  <si>
    <t>곤약</t>
    <phoneticPr fontId="1" type="noConversion"/>
  </si>
  <si>
    <t>새송이버섯</t>
    <phoneticPr fontId="1" type="noConversion"/>
  </si>
  <si>
    <t>노랑/빨강파프리카 각</t>
    <phoneticPr fontId="1" type="noConversion"/>
  </si>
  <si>
    <t>우동맛국</t>
    <phoneticPr fontId="1" type="noConversion"/>
  </si>
  <si>
    <t>우동소스</t>
    <phoneticPr fontId="1" type="noConversion"/>
  </si>
  <si>
    <t>일</t>
    <phoneticPr fontId="1" type="noConversion"/>
  </si>
  <si>
    <t>촉촉한치즈케익</t>
    <phoneticPr fontId="1" type="noConversion"/>
  </si>
  <si>
    <t>쇠고기스프</t>
    <phoneticPr fontId="1" type="noConversion"/>
  </si>
  <si>
    <t>마파람샐러드</t>
    <phoneticPr fontId="1" type="noConversion"/>
  </si>
  <si>
    <t>치즈케익</t>
    <phoneticPr fontId="1" type="noConversion"/>
  </si>
  <si>
    <t>쇠고기스프</t>
    <phoneticPr fontId="1" type="noConversion"/>
  </si>
  <si>
    <t>마파람</t>
    <phoneticPr fontId="1" type="noConversion"/>
  </si>
  <si>
    <t>스위트콘</t>
    <phoneticPr fontId="1" type="noConversion"/>
  </si>
  <si>
    <t>아일랜드드레싱</t>
    <phoneticPr fontId="1" type="noConversion"/>
  </si>
  <si>
    <t>짬뽕국</t>
    <phoneticPr fontId="1" type="noConversion"/>
  </si>
  <si>
    <t>섭산적야채볶음</t>
    <phoneticPr fontId="1" type="noConversion"/>
  </si>
  <si>
    <t>배추김치</t>
    <phoneticPr fontId="1" type="noConversion"/>
  </si>
  <si>
    <t>오징어채</t>
    <phoneticPr fontId="1" type="noConversion"/>
  </si>
  <si>
    <t>목이버섯</t>
    <phoneticPr fontId="1" type="noConversion"/>
  </si>
  <si>
    <t>섭산적</t>
    <phoneticPr fontId="1" type="noConversion"/>
  </si>
  <si>
    <t>브로콜리</t>
    <phoneticPr fontId="1" type="noConversion"/>
  </si>
  <si>
    <t>김치볶음밥</t>
    <phoneticPr fontId="1" type="noConversion"/>
  </si>
  <si>
    <t>두부된장국</t>
    <phoneticPr fontId="1" type="noConversion"/>
  </si>
  <si>
    <t>찐만두/양념간장</t>
    <phoneticPr fontId="1" type="noConversion"/>
  </si>
  <si>
    <t>맛김치</t>
    <phoneticPr fontId="1" type="noConversion"/>
  </si>
  <si>
    <t>김가루</t>
    <phoneticPr fontId="1" type="noConversion"/>
  </si>
  <si>
    <t>고기왕만두</t>
    <phoneticPr fontId="1" type="noConversion"/>
  </si>
  <si>
    <t>알찬감자찐만두</t>
    <phoneticPr fontId="1" type="noConversion"/>
  </si>
  <si>
    <t>포자고기찐만두</t>
    <phoneticPr fontId="1" type="noConversion"/>
  </si>
  <si>
    <t>1인당1개씩</t>
    <phoneticPr fontId="1" type="noConversion"/>
  </si>
  <si>
    <t>1인당1개씩</t>
    <phoneticPr fontId="1" type="noConversion"/>
  </si>
  <si>
    <t>1인량</t>
    <phoneticPr fontId="1" type="noConversion"/>
  </si>
  <si>
    <t>감자고로케/케첩</t>
    <phoneticPr fontId="1" type="noConversion"/>
  </si>
  <si>
    <t>감자고로케</t>
    <phoneticPr fontId="1" type="noConversion"/>
  </si>
  <si>
    <t>식용유</t>
    <phoneticPr fontId="1" type="noConversion"/>
  </si>
  <si>
    <t>견과류멸치볶음</t>
    <phoneticPr fontId="1" type="noConversion"/>
  </si>
  <si>
    <t>아몬드</t>
    <phoneticPr fontId="1" type="noConversion"/>
  </si>
  <si>
    <t>건멸치</t>
    <phoneticPr fontId="1" type="noConversion"/>
  </si>
  <si>
    <t>들깨</t>
    <phoneticPr fontId="1" type="noConversion"/>
  </si>
  <si>
    <t>1/4 (일) 발주서</t>
    <phoneticPr fontId="1" type="noConversion"/>
  </si>
  <si>
    <t>1/5 (월) 발주서</t>
    <phoneticPr fontId="1" type="noConversion"/>
  </si>
  <si>
    <t>1인량</t>
    <phoneticPr fontId="1" type="noConversion"/>
  </si>
  <si>
    <t>건새우아욱국</t>
    <phoneticPr fontId="1" type="noConversion"/>
  </si>
  <si>
    <t>건새우</t>
    <phoneticPr fontId="1" type="noConversion"/>
  </si>
  <si>
    <t>재고사용</t>
    <phoneticPr fontId="1" type="noConversion"/>
  </si>
  <si>
    <t>양배추</t>
    <phoneticPr fontId="1" type="noConversion"/>
  </si>
  <si>
    <t>무</t>
    <phoneticPr fontId="1" type="noConversion"/>
  </si>
  <si>
    <t>양파</t>
    <phoneticPr fontId="1" type="noConversion"/>
  </si>
  <si>
    <t>대파적당량</t>
    <phoneticPr fontId="1" type="noConversion"/>
  </si>
  <si>
    <t>깐쪽파</t>
    <phoneticPr fontId="1" type="noConversion"/>
  </si>
  <si>
    <t>근대된장국</t>
    <phoneticPr fontId="1" type="noConversion"/>
  </si>
  <si>
    <t>닭볶음탕</t>
    <phoneticPr fontId="1" type="noConversion"/>
  </si>
  <si>
    <t>닭계육</t>
    <phoneticPr fontId="1" type="noConversion"/>
  </si>
  <si>
    <t>삼색푸실리샐러드</t>
    <phoneticPr fontId="1" type="noConversion"/>
  </si>
  <si>
    <t>삼색푸실리</t>
    <phoneticPr fontId="1" type="noConversion"/>
  </si>
  <si>
    <t>양상추</t>
    <phoneticPr fontId="1" type="noConversion"/>
  </si>
  <si>
    <t>적채</t>
    <phoneticPr fontId="1" type="noConversion"/>
  </si>
  <si>
    <t>치커리/양파 각</t>
    <phoneticPr fontId="1" type="noConversion"/>
  </si>
  <si>
    <t>양파,대파적당량</t>
    <phoneticPr fontId="1" type="noConversion"/>
  </si>
  <si>
    <t>중</t>
    <phoneticPr fontId="1" type="noConversion"/>
  </si>
  <si>
    <t>오리엔탈드레싱</t>
    <phoneticPr fontId="1" type="noConversion"/>
  </si>
  <si>
    <t>1/6 (화) 입고분</t>
    <phoneticPr fontId="1" type="noConversion"/>
  </si>
  <si>
    <t>카레덮밥</t>
    <phoneticPr fontId="1" type="noConversion"/>
  </si>
  <si>
    <t>파니르</t>
    <phoneticPr fontId="1" type="noConversion"/>
  </si>
  <si>
    <t>우동건더기</t>
    <phoneticPr fontId="1" type="noConversion"/>
  </si>
  <si>
    <t>쑥갓</t>
    <phoneticPr fontId="1" type="noConversion"/>
  </si>
  <si>
    <t>김말이튀김</t>
    <phoneticPr fontId="1" type="noConversion"/>
  </si>
  <si>
    <t>김말이</t>
    <phoneticPr fontId="1" type="noConversion"/>
  </si>
  <si>
    <t>식용유</t>
    <phoneticPr fontId="1" type="noConversion"/>
  </si>
  <si>
    <t>요구르트</t>
    <phoneticPr fontId="1" type="noConversion"/>
  </si>
  <si>
    <t>60개</t>
    <phoneticPr fontId="1" type="noConversion"/>
  </si>
  <si>
    <t>명엽채볶음</t>
    <phoneticPr fontId="1" type="noConversion"/>
  </si>
  <si>
    <t>명엽채</t>
    <phoneticPr fontId="1" type="noConversion"/>
  </si>
  <si>
    <t>깐쪽파</t>
    <phoneticPr fontId="1" type="noConversion"/>
  </si>
  <si>
    <t>당근</t>
    <phoneticPr fontId="1" type="noConversion"/>
  </si>
  <si>
    <t>팽이미소국</t>
    <phoneticPr fontId="1" type="noConversion"/>
  </si>
  <si>
    <t>대파적당량</t>
    <phoneticPr fontId="1" type="noConversion"/>
  </si>
  <si>
    <t>건포도</t>
    <phoneticPr fontId="1" type="noConversion"/>
  </si>
  <si>
    <t>1/7 (수) 입고분</t>
    <phoneticPr fontId="1" type="noConversion"/>
  </si>
  <si>
    <t>1/8 (목) 입고분</t>
    <phoneticPr fontId="1" type="noConversion"/>
  </si>
  <si>
    <t>순대볶음</t>
    <phoneticPr fontId="1" type="noConversion"/>
  </si>
  <si>
    <t>순대</t>
    <phoneticPr fontId="1" type="noConversion"/>
  </si>
  <si>
    <t>홍고추</t>
    <phoneticPr fontId="1" type="noConversion"/>
  </si>
  <si>
    <t>들깨가루</t>
    <phoneticPr fontId="1" type="noConversion"/>
  </si>
  <si>
    <t>애호박우육채볶음</t>
    <phoneticPr fontId="1" type="noConversion"/>
  </si>
  <si>
    <t>새우젓</t>
    <phoneticPr fontId="1" type="noConversion"/>
  </si>
  <si>
    <t xml:space="preserve">다리살 </t>
    <phoneticPr fontId="1" type="noConversion"/>
  </si>
  <si>
    <t>1인량</t>
    <phoneticPr fontId="1" type="noConversion"/>
  </si>
  <si>
    <t>1/9 (금) 발주서</t>
    <phoneticPr fontId="1" type="noConversion"/>
  </si>
  <si>
    <t>참치찌개</t>
    <phoneticPr fontId="1" type="noConversion"/>
  </si>
  <si>
    <t>참치</t>
    <phoneticPr fontId="1" type="noConversion"/>
  </si>
  <si>
    <t>돈육김치찜</t>
    <phoneticPr fontId="1" type="noConversion"/>
  </si>
  <si>
    <t>삼겹살</t>
    <phoneticPr fontId="1" type="noConversion"/>
  </si>
  <si>
    <t>도라지무침</t>
    <phoneticPr fontId="1" type="noConversion"/>
  </si>
  <si>
    <t>도라지</t>
    <phoneticPr fontId="1" type="noConversion"/>
  </si>
  <si>
    <t>해물완자전</t>
    <phoneticPr fontId="1" type="noConversion"/>
  </si>
  <si>
    <t>해물완자</t>
    <phoneticPr fontId="1" type="noConversion"/>
  </si>
  <si>
    <t>탕평채</t>
    <phoneticPr fontId="1" type="noConversion"/>
  </si>
  <si>
    <t>동부묵채</t>
    <phoneticPr fontId="1" type="noConversion"/>
  </si>
  <si>
    <t>우육채</t>
    <phoneticPr fontId="1" type="noConversion"/>
  </si>
  <si>
    <t>숙주</t>
    <phoneticPr fontId="1" type="noConversion"/>
  </si>
  <si>
    <t>미나리</t>
    <phoneticPr fontId="1" type="noConversion"/>
  </si>
  <si>
    <t>김가루</t>
    <phoneticPr fontId="1" type="noConversion"/>
  </si>
  <si>
    <t>1판</t>
    <phoneticPr fontId="1" type="noConversion"/>
  </si>
  <si>
    <t>중식</t>
    <phoneticPr fontId="1" type="noConversion"/>
  </si>
  <si>
    <t>1/10 (토) 발주서</t>
    <phoneticPr fontId="1" type="noConversion"/>
  </si>
  <si>
    <t>흑미밥</t>
    <phoneticPr fontId="1" type="noConversion"/>
  </si>
  <si>
    <t>흑미</t>
    <phoneticPr fontId="1" type="noConversion"/>
  </si>
  <si>
    <t>꼬꼬떡국</t>
    <phoneticPr fontId="1" type="noConversion"/>
  </si>
  <si>
    <t>대파적당량</t>
    <phoneticPr fontId="1" type="noConversion"/>
  </si>
  <si>
    <t>고등어양념구이</t>
    <phoneticPr fontId="1" type="noConversion"/>
  </si>
  <si>
    <t>고등어</t>
    <phoneticPr fontId="1" type="noConversion"/>
  </si>
  <si>
    <t>재고사용</t>
    <phoneticPr fontId="1" type="noConversion"/>
  </si>
  <si>
    <t>양념소스</t>
    <phoneticPr fontId="1" type="noConversion"/>
  </si>
  <si>
    <t>근대나물무침</t>
    <phoneticPr fontId="1" type="noConversion"/>
  </si>
  <si>
    <t>근대</t>
    <phoneticPr fontId="1" type="noConversion"/>
  </si>
  <si>
    <t>55개</t>
    <phoneticPr fontId="1" type="noConversion"/>
  </si>
  <si>
    <t>우유</t>
    <phoneticPr fontId="1" type="noConversion"/>
  </si>
  <si>
    <t>적채</t>
    <phoneticPr fontId="1" type="noConversion"/>
  </si>
  <si>
    <t>시금치나물</t>
    <phoneticPr fontId="1" type="noConversion"/>
  </si>
  <si>
    <t>당근</t>
    <phoneticPr fontId="1" type="noConversion"/>
  </si>
  <si>
    <t>양파</t>
    <phoneticPr fontId="1" type="noConversion"/>
  </si>
  <si>
    <t>노랑파프리카</t>
    <phoneticPr fontId="1" type="noConversion"/>
  </si>
  <si>
    <t>방울토마토</t>
    <phoneticPr fontId="1" type="noConversion"/>
  </si>
  <si>
    <t>1/10 (토) 입고분</t>
    <phoneticPr fontId="1" type="noConversion"/>
  </si>
  <si>
    <t>1인량</t>
    <phoneticPr fontId="1" type="noConversion"/>
  </si>
  <si>
    <t>두부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</si>
</sst>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kg&quot;"/>
    <numFmt numFmtId="178" formatCode="General\ &quot;g&quot;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177" fontId="3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>
      <alignment vertical="center"/>
    </xf>
    <xf numFmtId="0" fontId="3" fillId="2" borderId="1" xfId="0" applyFont="1" applyFill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7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177" fontId="7" fillId="2" borderId="1" xfId="0" applyNumberFormat="1" applyFont="1" applyFill="1" applyBorder="1">
      <alignment vertical="center"/>
    </xf>
    <xf numFmtId="0" fontId="7" fillId="2" borderId="1" xfId="0" applyFont="1" applyFill="1" applyBorder="1">
      <alignment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177" fontId="5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177" fontId="5" fillId="2" borderId="1" xfId="0" applyNumberFormat="1" applyFont="1" applyFill="1" applyBorder="1">
      <alignment vertical="center"/>
    </xf>
    <xf numFmtId="0" fontId="5" fillId="2" borderId="1" xfId="0" applyFont="1" applyFill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righ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4" fillId="0" borderId="1" xfId="0" applyNumberFormat="1" applyFont="1" applyBorder="1" applyAlignment="1">
      <alignment horizontal="right" vertical="center"/>
    </xf>
    <xf numFmtId="178" fontId="7" fillId="2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Fill="1" applyBorder="1" applyAlignment="1">
      <alignment horizontal="right" vertical="center"/>
    </xf>
    <xf numFmtId="178" fontId="5" fillId="2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Fill="1" applyBorder="1" applyAlignment="1">
      <alignment horizontal="right" vertical="center"/>
    </xf>
    <xf numFmtId="177" fontId="5" fillId="2" borderId="1" xfId="0" applyNumberFormat="1" applyFont="1" applyFill="1" applyBorder="1" applyAlignment="1">
      <alignment horizontal="right" vertical="center"/>
    </xf>
    <xf numFmtId="178" fontId="3" fillId="0" borderId="1" xfId="0" applyNumberFormat="1" applyFont="1" applyFill="1" applyBorder="1" applyAlignment="1">
      <alignment horizontal="right" vertical="center"/>
    </xf>
    <xf numFmtId="177" fontId="3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>
      <selection activeCell="D3" sqref="D3"/>
    </sheetView>
  </sheetViews>
  <sheetFormatPr defaultRowHeight="16.5"/>
  <cols>
    <col min="1" max="1" width="6.25" customWidth="1"/>
    <col min="2" max="2" width="4.5" customWidth="1"/>
    <col min="3" max="3" width="18.125" customWidth="1"/>
    <col min="4" max="4" width="15.375" customWidth="1"/>
    <col min="5" max="5" width="8.125" customWidth="1"/>
    <col min="7" max="7" width="15.875" customWidth="1"/>
    <col min="8" max="8" width="9.5" customWidth="1"/>
    <col min="9" max="9" width="9" hidden="1" customWidth="1"/>
  </cols>
  <sheetData>
    <row r="1" spans="1:9" ht="21.75" customHeight="1">
      <c r="A1" s="57" t="s">
        <v>198</v>
      </c>
      <c r="B1" s="57"/>
      <c r="C1" s="57"/>
      <c r="D1" s="57"/>
      <c r="E1" s="57"/>
      <c r="F1" s="57"/>
      <c r="G1" s="57"/>
      <c r="H1" s="57"/>
      <c r="I1" s="57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190</v>
      </c>
      <c r="F2" s="1" t="s">
        <v>4</v>
      </c>
      <c r="G2" s="1" t="s">
        <v>5</v>
      </c>
    </row>
    <row r="3" spans="1:9" ht="20.25">
      <c r="A3" s="4">
        <v>42008</v>
      </c>
      <c r="B3" s="5">
        <v>55</v>
      </c>
      <c r="C3" s="5" t="s">
        <v>6</v>
      </c>
      <c r="D3" s="6" t="s">
        <v>7</v>
      </c>
      <c r="E3" s="44">
        <v>20</v>
      </c>
      <c r="F3" s="7">
        <f>(B3*E3)/1000</f>
        <v>1.1000000000000001</v>
      </c>
      <c r="G3" s="8"/>
    </row>
    <row r="4" spans="1:9" ht="20.25">
      <c r="A4" s="6" t="s">
        <v>8</v>
      </c>
      <c r="B4" s="5">
        <v>55</v>
      </c>
      <c r="C4" s="6"/>
      <c r="D4" s="6" t="s">
        <v>9</v>
      </c>
      <c r="E4" s="44">
        <v>40</v>
      </c>
      <c r="F4" s="7">
        <f t="shared" ref="F4:F26" si="0">(B4*E4)/1000</f>
        <v>2.2000000000000002</v>
      </c>
      <c r="G4" s="8"/>
    </row>
    <row r="5" spans="1:9" ht="20.25">
      <c r="A5" s="6" t="s">
        <v>10</v>
      </c>
      <c r="B5" s="5">
        <v>55</v>
      </c>
      <c r="C5" s="6"/>
      <c r="D5" s="6" t="s">
        <v>11</v>
      </c>
      <c r="E5" s="44">
        <v>2</v>
      </c>
      <c r="F5" s="7">
        <f t="shared" si="0"/>
        <v>0.11</v>
      </c>
      <c r="G5" s="8"/>
    </row>
    <row r="6" spans="1:9" ht="20.25">
      <c r="A6" s="6"/>
      <c r="B6" s="5">
        <v>55</v>
      </c>
      <c r="C6" s="6" t="s">
        <v>191</v>
      </c>
      <c r="D6" s="6" t="s">
        <v>192</v>
      </c>
      <c r="E6" s="44">
        <v>100</v>
      </c>
      <c r="F6" s="7">
        <f t="shared" si="0"/>
        <v>5.5</v>
      </c>
      <c r="G6" s="8"/>
    </row>
    <row r="7" spans="1:9" ht="20.25">
      <c r="A7" s="6"/>
      <c r="B7" s="5">
        <v>55</v>
      </c>
      <c r="C7" s="6"/>
      <c r="D7" s="6" t="s">
        <v>193</v>
      </c>
      <c r="E7" s="44">
        <v>0</v>
      </c>
      <c r="F7" s="7">
        <f t="shared" si="0"/>
        <v>0</v>
      </c>
      <c r="G7" s="8"/>
    </row>
    <row r="8" spans="1:9" ht="20.25">
      <c r="A8" s="6"/>
      <c r="B8" s="5">
        <v>55</v>
      </c>
      <c r="C8" s="6" t="s">
        <v>194</v>
      </c>
      <c r="D8" s="6" t="s">
        <v>195</v>
      </c>
      <c r="E8" s="44">
        <v>2</v>
      </c>
      <c r="F8" s="7">
        <f t="shared" si="0"/>
        <v>0.11</v>
      </c>
      <c r="G8" s="8"/>
    </row>
    <row r="9" spans="1:9" ht="20.25">
      <c r="A9" s="6"/>
      <c r="B9" s="5">
        <v>55</v>
      </c>
      <c r="C9" s="6"/>
      <c r="D9" s="6" t="s">
        <v>196</v>
      </c>
      <c r="E9" s="44">
        <v>15</v>
      </c>
      <c r="F9" s="7">
        <f t="shared" si="0"/>
        <v>0.82499999999999996</v>
      </c>
      <c r="G9" s="8"/>
    </row>
    <row r="10" spans="1:9" ht="20.25">
      <c r="A10" s="6"/>
      <c r="B10" s="5">
        <v>55</v>
      </c>
      <c r="C10" s="6" t="s">
        <v>13</v>
      </c>
      <c r="D10" s="6" t="s">
        <v>13</v>
      </c>
      <c r="E10" s="44">
        <v>40</v>
      </c>
      <c r="F10" s="7">
        <f t="shared" si="0"/>
        <v>2.2000000000000002</v>
      </c>
      <c r="G10" s="8"/>
    </row>
    <row r="11" spans="1:9" ht="20.25">
      <c r="A11" s="10"/>
      <c r="B11" s="10"/>
      <c r="C11" s="10"/>
      <c r="D11" s="10"/>
      <c r="E11" s="45"/>
      <c r="F11" s="11"/>
      <c r="G11" s="12"/>
    </row>
    <row r="12" spans="1:9" ht="20.25">
      <c r="A12" s="13">
        <v>42008</v>
      </c>
      <c r="B12" s="6">
        <v>56</v>
      </c>
      <c r="C12" s="6" t="s">
        <v>14</v>
      </c>
      <c r="D12" s="6" t="s">
        <v>15</v>
      </c>
      <c r="E12" s="44">
        <v>2</v>
      </c>
      <c r="F12" s="7">
        <f t="shared" si="0"/>
        <v>0.112</v>
      </c>
      <c r="G12" s="8"/>
    </row>
    <row r="13" spans="1:9" ht="20.25">
      <c r="A13" s="6" t="s">
        <v>8</v>
      </c>
      <c r="B13" s="6">
        <v>56</v>
      </c>
      <c r="C13" s="6" t="s">
        <v>16</v>
      </c>
      <c r="D13" s="6" t="s">
        <v>17</v>
      </c>
      <c r="E13" s="44">
        <v>2</v>
      </c>
      <c r="F13" s="7">
        <f t="shared" si="0"/>
        <v>0.112</v>
      </c>
      <c r="G13" s="8"/>
    </row>
    <row r="14" spans="1:9" ht="20.25">
      <c r="A14" s="6" t="s">
        <v>19</v>
      </c>
      <c r="B14" s="6">
        <v>56</v>
      </c>
      <c r="C14" s="6"/>
      <c r="D14" s="6" t="s">
        <v>197</v>
      </c>
      <c r="E14" s="44">
        <v>2</v>
      </c>
      <c r="F14" s="7">
        <f t="shared" si="0"/>
        <v>0.112</v>
      </c>
      <c r="G14" s="8"/>
    </row>
    <row r="15" spans="1:9" ht="20.25">
      <c r="A15" s="6"/>
      <c r="B15" s="6">
        <v>56</v>
      </c>
      <c r="C15" s="6" t="s">
        <v>21</v>
      </c>
      <c r="D15" s="6" t="s">
        <v>20</v>
      </c>
      <c r="E15" s="44">
        <v>150</v>
      </c>
      <c r="F15" s="7">
        <f t="shared" si="0"/>
        <v>8.4</v>
      </c>
      <c r="G15" s="8"/>
    </row>
    <row r="16" spans="1:9" ht="20.25">
      <c r="A16" s="6"/>
      <c r="B16" s="6">
        <v>56</v>
      </c>
      <c r="C16" s="6"/>
      <c r="D16" s="6" t="s">
        <v>22</v>
      </c>
      <c r="E16" s="44">
        <v>30</v>
      </c>
      <c r="F16" s="7">
        <f t="shared" si="0"/>
        <v>1.68</v>
      </c>
      <c r="G16" s="8"/>
    </row>
    <row r="17" spans="1:7" ht="20.25">
      <c r="A17" s="6"/>
      <c r="B17" s="6">
        <v>56</v>
      </c>
      <c r="C17" s="6"/>
      <c r="D17" s="6" t="s">
        <v>23</v>
      </c>
      <c r="E17" s="44">
        <v>20</v>
      </c>
      <c r="F17" s="7">
        <f t="shared" si="0"/>
        <v>1.1200000000000001</v>
      </c>
      <c r="G17" s="8"/>
    </row>
    <row r="18" spans="1:7" ht="20.25">
      <c r="A18" s="6"/>
      <c r="B18" s="6">
        <v>56</v>
      </c>
      <c r="C18" s="6"/>
      <c r="D18" s="6" t="s">
        <v>24</v>
      </c>
      <c r="E18" s="44">
        <v>20</v>
      </c>
      <c r="F18" s="7">
        <f t="shared" si="0"/>
        <v>1.1200000000000001</v>
      </c>
      <c r="G18" s="8"/>
    </row>
    <row r="19" spans="1:7" ht="20.25">
      <c r="A19" s="6"/>
      <c r="B19" s="6">
        <v>56</v>
      </c>
      <c r="C19" s="6"/>
      <c r="D19" s="6" t="s">
        <v>25</v>
      </c>
      <c r="E19" s="44">
        <v>20</v>
      </c>
      <c r="F19" s="7">
        <f t="shared" si="0"/>
        <v>1.1200000000000001</v>
      </c>
      <c r="G19" s="8"/>
    </row>
    <row r="20" spans="1:7" ht="20.25">
      <c r="A20" s="6"/>
      <c r="B20" s="6">
        <v>56</v>
      </c>
      <c r="C20" s="6" t="s">
        <v>26</v>
      </c>
      <c r="D20" s="6" t="s">
        <v>27</v>
      </c>
      <c r="E20" s="44">
        <v>100</v>
      </c>
      <c r="F20" s="9">
        <f t="shared" si="0"/>
        <v>5.6</v>
      </c>
      <c r="G20" s="8"/>
    </row>
    <row r="21" spans="1:7" ht="20.25">
      <c r="A21" s="6"/>
      <c r="B21" s="6">
        <v>56</v>
      </c>
      <c r="C21" s="6"/>
      <c r="D21" s="6" t="s">
        <v>28</v>
      </c>
      <c r="E21" s="44">
        <v>40</v>
      </c>
      <c r="F21" s="7">
        <f t="shared" si="0"/>
        <v>2.2400000000000002</v>
      </c>
      <c r="G21" s="14"/>
    </row>
    <row r="22" spans="1:7" ht="20.25">
      <c r="A22" s="6"/>
      <c r="B22" s="6">
        <v>56</v>
      </c>
      <c r="C22" s="6"/>
      <c r="D22" s="6" t="s">
        <v>29</v>
      </c>
      <c r="E22" s="44">
        <v>20</v>
      </c>
      <c r="F22" s="7">
        <f t="shared" si="0"/>
        <v>1.1200000000000001</v>
      </c>
      <c r="G22" s="8"/>
    </row>
    <row r="23" spans="1:7" ht="20.25">
      <c r="A23" s="6"/>
      <c r="B23" s="6">
        <v>56</v>
      </c>
      <c r="C23" s="6"/>
      <c r="D23" s="6" t="s">
        <v>24</v>
      </c>
      <c r="E23" s="44">
        <v>20</v>
      </c>
      <c r="F23" s="7">
        <f t="shared" si="0"/>
        <v>1.1200000000000001</v>
      </c>
      <c r="G23" s="8"/>
    </row>
    <row r="24" spans="1:7" ht="20.25">
      <c r="A24" s="6"/>
      <c r="B24" s="6">
        <v>56</v>
      </c>
      <c r="C24" s="6"/>
      <c r="D24" s="6" t="s">
        <v>30</v>
      </c>
      <c r="E24" s="44">
        <v>20</v>
      </c>
      <c r="F24" s="7">
        <f t="shared" si="0"/>
        <v>1.1200000000000001</v>
      </c>
      <c r="G24" s="8"/>
    </row>
    <row r="25" spans="1:7" ht="20.25">
      <c r="A25" s="6"/>
      <c r="B25" s="6">
        <v>56</v>
      </c>
      <c r="C25" s="6"/>
      <c r="D25" s="6" t="s">
        <v>31</v>
      </c>
      <c r="E25" s="44">
        <v>30</v>
      </c>
      <c r="F25" s="9">
        <f t="shared" si="0"/>
        <v>1.68</v>
      </c>
      <c r="G25" s="8"/>
    </row>
    <row r="26" spans="1:7" ht="20.25">
      <c r="A26" s="6"/>
      <c r="B26" s="6">
        <v>56</v>
      </c>
      <c r="C26" s="6" t="s">
        <v>13</v>
      </c>
      <c r="D26" s="6" t="s">
        <v>13</v>
      </c>
      <c r="E26" s="44">
        <v>40</v>
      </c>
      <c r="F26" s="7">
        <f t="shared" si="0"/>
        <v>2.2400000000000002</v>
      </c>
      <c r="G26" s="8"/>
    </row>
    <row r="27" spans="1:7" ht="20.25">
      <c r="A27" s="10"/>
      <c r="B27" s="10"/>
      <c r="C27" s="10"/>
      <c r="D27" s="10"/>
      <c r="E27" s="45"/>
      <c r="F27" s="11"/>
      <c r="G27" s="12"/>
    </row>
    <row r="28" spans="1:7">
      <c r="A28" s="1"/>
      <c r="B28" s="1"/>
      <c r="C28" s="1"/>
      <c r="D28" s="1"/>
      <c r="E28" s="46"/>
      <c r="F28" s="3"/>
      <c r="G28" s="2"/>
    </row>
    <row r="29" spans="1:7">
      <c r="A29" s="1"/>
      <c r="B29" s="1"/>
      <c r="C29" s="1"/>
      <c r="D29" s="1"/>
      <c r="E29" s="46"/>
      <c r="F29" s="3"/>
      <c r="G29" s="2"/>
    </row>
    <row r="30" spans="1:7">
      <c r="A30" s="1"/>
      <c r="B30" s="1"/>
      <c r="C30" s="1"/>
      <c r="D30" s="1"/>
      <c r="E30" s="46"/>
      <c r="F30" s="3"/>
      <c r="G30" s="2"/>
    </row>
    <row r="31" spans="1:7">
      <c r="A31" s="1"/>
      <c r="B31" s="1"/>
      <c r="C31" s="1"/>
      <c r="D31" s="1"/>
      <c r="E31" s="46"/>
      <c r="F31" s="3"/>
      <c r="G31" s="2"/>
    </row>
    <row r="32" spans="1:7">
      <c r="A32" s="1"/>
      <c r="B32" s="1"/>
      <c r="C32" s="1"/>
      <c r="D32" s="1"/>
      <c r="E32" s="46"/>
      <c r="F32" s="3"/>
      <c r="G32" s="2"/>
    </row>
    <row r="33" spans="1:7">
      <c r="A33" s="1"/>
      <c r="B33" s="1"/>
      <c r="C33" s="1"/>
      <c r="D33" s="1"/>
      <c r="E33" s="46"/>
      <c r="F33" s="3"/>
      <c r="G33" s="2"/>
    </row>
  </sheetData>
  <autoFilter ref="A2:G2">
    <filterColumn colId="4"/>
  </autoFilter>
  <mergeCells count="1"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topLeftCell="A14" workbookViewId="0">
      <selection activeCell="F36" sqref="F36"/>
    </sheetView>
  </sheetViews>
  <sheetFormatPr defaultRowHeight="16.5"/>
  <cols>
    <col min="1" max="1" width="5.875" customWidth="1"/>
    <col min="2" max="2" width="5.625" customWidth="1"/>
    <col min="3" max="3" width="17.75" customWidth="1"/>
    <col min="4" max="4" width="16.5" customWidth="1"/>
    <col min="5" max="5" width="7.625" customWidth="1"/>
    <col min="6" max="6" width="8.375" customWidth="1"/>
    <col min="7" max="7" width="17.875" customWidth="1"/>
    <col min="8" max="8" width="0.25" hidden="1" customWidth="1"/>
    <col min="9" max="9" width="9" hidden="1" customWidth="1"/>
  </cols>
  <sheetData>
    <row r="1" spans="1:9" ht="21.75" customHeight="1">
      <c r="A1" s="57" t="s">
        <v>199</v>
      </c>
      <c r="B1" s="57"/>
      <c r="C1" s="57"/>
      <c r="D1" s="57"/>
      <c r="E1" s="57"/>
      <c r="F1" s="57"/>
      <c r="G1" s="57"/>
      <c r="H1" s="57"/>
      <c r="I1" s="57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200</v>
      </c>
      <c r="F2" s="1" t="s">
        <v>4</v>
      </c>
      <c r="G2" s="1" t="s">
        <v>5</v>
      </c>
    </row>
    <row r="3" spans="1:9" ht="19.5">
      <c r="A3" s="17">
        <v>42009</v>
      </c>
      <c r="B3" s="18">
        <v>56</v>
      </c>
      <c r="C3" s="18" t="s">
        <v>33</v>
      </c>
      <c r="D3" s="19" t="s">
        <v>34</v>
      </c>
      <c r="E3" s="47">
        <v>2</v>
      </c>
      <c r="F3" s="20">
        <f>(B3*E3)/1000</f>
        <v>0.112</v>
      </c>
      <c r="G3" s="21"/>
    </row>
    <row r="4" spans="1:9" ht="19.5">
      <c r="A4" s="19" t="s">
        <v>35</v>
      </c>
      <c r="B4" s="18">
        <v>56</v>
      </c>
      <c r="C4" s="19" t="s">
        <v>201</v>
      </c>
      <c r="D4" s="19" t="s">
        <v>36</v>
      </c>
      <c r="E4" s="47">
        <v>30</v>
      </c>
      <c r="F4" s="20">
        <f t="shared" ref="F4:F37" si="0">(B4*E4)/1000</f>
        <v>1.68</v>
      </c>
      <c r="G4" s="21" t="s">
        <v>37</v>
      </c>
    </row>
    <row r="5" spans="1:9" ht="19.5">
      <c r="A5" s="19" t="s">
        <v>38</v>
      </c>
      <c r="B5" s="18">
        <v>56</v>
      </c>
      <c r="C5" s="19"/>
      <c r="D5" s="19" t="s">
        <v>202</v>
      </c>
      <c r="E5" s="47">
        <v>2</v>
      </c>
      <c r="F5" s="20">
        <f t="shared" si="0"/>
        <v>0.112</v>
      </c>
      <c r="G5" s="21"/>
    </row>
    <row r="6" spans="1:9" ht="19.5">
      <c r="A6" s="19"/>
      <c r="B6" s="18">
        <v>56</v>
      </c>
      <c r="C6" s="19" t="s">
        <v>39</v>
      </c>
      <c r="D6" s="19" t="s">
        <v>40</v>
      </c>
      <c r="E6" s="47">
        <v>100</v>
      </c>
      <c r="F6" s="20">
        <f t="shared" si="0"/>
        <v>5.6</v>
      </c>
      <c r="G6" s="21" t="s">
        <v>203</v>
      </c>
    </row>
    <row r="7" spans="1:9" ht="19.5">
      <c r="A7" s="19"/>
      <c r="B7" s="18">
        <v>56</v>
      </c>
      <c r="C7" s="19"/>
      <c r="D7" s="19" t="s">
        <v>41</v>
      </c>
      <c r="E7" s="47">
        <v>20</v>
      </c>
      <c r="F7" s="20">
        <f t="shared" si="0"/>
        <v>1.1200000000000001</v>
      </c>
      <c r="G7" s="21"/>
    </row>
    <row r="8" spans="1:9" ht="19.5">
      <c r="A8" s="19"/>
      <c r="B8" s="18">
        <v>56</v>
      </c>
      <c r="C8" s="19"/>
      <c r="D8" s="19" t="s">
        <v>42</v>
      </c>
      <c r="E8" s="47">
        <v>20</v>
      </c>
      <c r="F8" s="20">
        <f t="shared" si="0"/>
        <v>1.1200000000000001</v>
      </c>
      <c r="G8" s="21"/>
    </row>
    <row r="9" spans="1:9" ht="19.5">
      <c r="A9" s="19"/>
      <c r="B9" s="18">
        <v>56</v>
      </c>
      <c r="C9" s="19" t="s">
        <v>43</v>
      </c>
      <c r="D9" s="19" t="s">
        <v>44</v>
      </c>
      <c r="E9" s="47">
        <v>100</v>
      </c>
      <c r="F9" s="20">
        <f t="shared" si="0"/>
        <v>5.6</v>
      </c>
      <c r="G9" s="21"/>
    </row>
    <row r="10" spans="1:9" ht="19.5">
      <c r="A10" s="19"/>
      <c r="B10" s="18">
        <v>56</v>
      </c>
      <c r="C10" s="19"/>
      <c r="D10" s="19" t="s">
        <v>204</v>
      </c>
      <c r="E10" s="47">
        <v>20</v>
      </c>
      <c r="F10" s="20">
        <f t="shared" si="0"/>
        <v>1.1200000000000001</v>
      </c>
      <c r="G10" s="21"/>
    </row>
    <row r="11" spans="1:9" ht="19.5">
      <c r="A11" s="19"/>
      <c r="B11" s="18">
        <v>56</v>
      </c>
      <c r="C11" s="19"/>
      <c r="D11" s="19" t="s">
        <v>29</v>
      </c>
      <c r="E11" s="47">
        <v>5</v>
      </c>
      <c r="F11" s="20">
        <f t="shared" si="0"/>
        <v>0.28000000000000003</v>
      </c>
      <c r="G11" s="21"/>
    </row>
    <row r="12" spans="1:9" ht="19.5">
      <c r="A12" s="19"/>
      <c r="B12" s="18">
        <v>56</v>
      </c>
      <c r="C12" s="19"/>
      <c r="D12" s="15" t="s">
        <v>59</v>
      </c>
      <c r="E12" s="50">
        <v>10</v>
      </c>
      <c r="F12" s="20">
        <f t="shared" si="0"/>
        <v>0.56000000000000005</v>
      </c>
      <c r="G12" s="21"/>
    </row>
    <row r="13" spans="1:9" ht="19.5">
      <c r="A13" s="19"/>
      <c r="B13" s="18">
        <v>56</v>
      </c>
      <c r="C13" s="19"/>
      <c r="D13" s="19" t="s">
        <v>45</v>
      </c>
      <c r="E13" s="47">
        <v>10</v>
      </c>
      <c r="F13" s="20">
        <f t="shared" si="0"/>
        <v>0.56000000000000005</v>
      </c>
      <c r="G13" s="21"/>
    </row>
    <row r="14" spans="1:9" ht="19.5">
      <c r="A14" s="19"/>
      <c r="B14" s="18">
        <v>56</v>
      </c>
      <c r="C14" s="19" t="s">
        <v>46</v>
      </c>
      <c r="D14" s="19" t="s">
        <v>46</v>
      </c>
      <c r="E14" s="47">
        <v>40</v>
      </c>
      <c r="F14" s="20">
        <f t="shared" si="0"/>
        <v>2.2400000000000002</v>
      </c>
      <c r="G14" s="21"/>
    </row>
    <row r="15" spans="1:9" ht="19.5">
      <c r="A15" s="22"/>
      <c r="B15" s="22"/>
      <c r="C15" s="22"/>
      <c r="D15" s="22"/>
      <c r="E15" s="49"/>
      <c r="F15" s="23"/>
      <c r="G15" s="24"/>
    </row>
    <row r="16" spans="1:9" ht="19.5">
      <c r="A16" s="25">
        <v>42010</v>
      </c>
      <c r="B16" s="19">
        <v>55</v>
      </c>
      <c r="C16" s="19" t="s">
        <v>47</v>
      </c>
      <c r="D16" s="19" t="s">
        <v>48</v>
      </c>
      <c r="E16" s="47">
        <v>20</v>
      </c>
      <c r="F16" s="20">
        <f t="shared" si="0"/>
        <v>1.1000000000000001</v>
      </c>
      <c r="G16" s="21"/>
    </row>
    <row r="17" spans="1:7" ht="19.5">
      <c r="A17" s="19" t="s">
        <v>49</v>
      </c>
      <c r="B17" s="19">
        <v>55</v>
      </c>
      <c r="C17" s="19"/>
      <c r="D17" s="19" t="s">
        <v>41</v>
      </c>
      <c r="E17" s="47">
        <v>40</v>
      </c>
      <c r="F17" s="20">
        <f t="shared" si="0"/>
        <v>2.2000000000000002</v>
      </c>
      <c r="G17" s="21"/>
    </row>
    <row r="18" spans="1:7" ht="19.5">
      <c r="A18" s="19" t="s">
        <v>50</v>
      </c>
      <c r="B18" s="19">
        <v>55</v>
      </c>
      <c r="C18" s="19" t="s">
        <v>51</v>
      </c>
      <c r="D18" s="19" t="s">
        <v>52</v>
      </c>
      <c r="E18" s="47">
        <v>100</v>
      </c>
      <c r="F18" s="20">
        <f t="shared" si="0"/>
        <v>5.5</v>
      </c>
      <c r="G18" s="21"/>
    </row>
    <row r="19" spans="1:7" ht="19.5">
      <c r="A19" s="19"/>
      <c r="B19" s="19">
        <v>55</v>
      </c>
      <c r="C19" s="19"/>
      <c r="D19" s="19" t="s">
        <v>205</v>
      </c>
      <c r="E19" s="47">
        <v>10</v>
      </c>
      <c r="F19" s="20">
        <f t="shared" si="0"/>
        <v>0.55000000000000004</v>
      </c>
      <c r="G19" s="21"/>
    </row>
    <row r="20" spans="1:7" ht="19.5">
      <c r="A20" s="19"/>
      <c r="B20" s="19">
        <v>55</v>
      </c>
      <c r="C20" s="19"/>
      <c r="D20" s="19" t="s">
        <v>206</v>
      </c>
      <c r="E20" s="47">
        <v>10</v>
      </c>
      <c r="F20" s="20">
        <f t="shared" si="0"/>
        <v>0.55000000000000004</v>
      </c>
      <c r="G20" s="21" t="s">
        <v>207</v>
      </c>
    </row>
    <row r="21" spans="1:7" ht="19.5">
      <c r="A21" s="19"/>
      <c r="B21" s="19">
        <v>55</v>
      </c>
      <c r="C21" s="19" t="s">
        <v>53</v>
      </c>
      <c r="D21" s="19" t="s">
        <v>54</v>
      </c>
      <c r="E21" s="47">
        <v>50</v>
      </c>
      <c r="F21" s="20">
        <f t="shared" si="0"/>
        <v>2.75</v>
      </c>
      <c r="G21" s="21"/>
    </row>
    <row r="22" spans="1:7" ht="19.5">
      <c r="A22" s="19"/>
      <c r="B22" s="19">
        <v>55</v>
      </c>
      <c r="C22" s="19"/>
      <c r="D22" s="19" t="s">
        <v>208</v>
      </c>
      <c r="E22" s="47">
        <v>10</v>
      </c>
      <c r="F22" s="20">
        <f t="shared" si="0"/>
        <v>0.55000000000000004</v>
      </c>
      <c r="G22" s="21"/>
    </row>
    <row r="23" spans="1:7" ht="19.5">
      <c r="A23" s="19"/>
      <c r="B23" s="19">
        <v>55</v>
      </c>
      <c r="C23" s="19" t="s">
        <v>46</v>
      </c>
      <c r="D23" s="19" t="s">
        <v>46</v>
      </c>
      <c r="E23" s="47">
        <v>40</v>
      </c>
      <c r="F23" s="20">
        <f t="shared" si="0"/>
        <v>2.2000000000000002</v>
      </c>
      <c r="G23" s="21"/>
    </row>
    <row r="24" spans="1:7" ht="19.5">
      <c r="A24" s="22"/>
      <c r="B24" s="22"/>
      <c r="C24" s="22"/>
      <c r="D24" s="22"/>
      <c r="E24" s="49"/>
      <c r="F24" s="23"/>
      <c r="G24" s="24"/>
    </row>
    <row r="25" spans="1:7" ht="19.5">
      <c r="A25" s="25">
        <v>42010</v>
      </c>
      <c r="B25" s="19">
        <v>56</v>
      </c>
      <c r="C25" s="19" t="s">
        <v>60</v>
      </c>
      <c r="D25" s="19" t="s">
        <v>60</v>
      </c>
      <c r="E25" s="47">
        <v>2</v>
      </c>
      <c r="F25" s="20">
        <f t="shared" si="0"/>
        <v>0.112</v>
      </c>
      <c r="G25" s="21"/>
    </row>
    <row r="26" spans="1:7" ht="19.5">
      <c r="A26" s="19" t="s">
        <v>49</v>
      </c>
      <c r="B26" s="19">
        <v>56</v>
      </c>
      <c r="C26" s="19" t="s">
        <v>209</v>
      </c>
      <c r="D26" s="19" t="s">
        <v>112</v>
      </c>
      <c r="E26" s="47">
        <v>30</v>
      </c>
      <c r="F26" s="20">
        <f t="shared" si="0"/>
        <v>1.68</v>
      </c>
      <c r="G26" s="21" t="s">
        <v>217</v>
      </c>
    </row>
    <row r="27" spans="1:7" ht="19.5">
      <c r="A27" s="19" t="s">
        <v>218</v>
      </c>
      <c r="B27" s="19">
        <v>56</v>
      </c>
      <c r="C27" s="19" t="s">
        <v>210</v>
      </c>
      <c r="D27" s="16" t="s">
        <v>211</v>
      </c>
      <c r="E27" s="50">
        <v>150</v>
      </c>
      <c r="F27" s="20">
        <f t="shared" si="0"/>
        <v>8.4</v>
      </c>
      <c r="G27" s="21"/>
    </row>
    <row r="28" spans="1:7" ht="19.5">
      <c r="A28" s="26"/>
      <c r="B28" s="19">
        <v>56</v>
      </c>
      <c r="C28" s="26"/>
      <c r="D28" s="26" t="s">
        <v>42</v>
      </c>
      <c r="E28" s="51">
        <v>50</v>
      </c>
      <c r="F28" s="20">
        <f t="shared" si="0"/>
        <v>2.8</v>
      </c>
      <c r="G28" s="27"/>
    </row>
    <row r="29" spans="1:7" ht="19.5">
      <c r="A29" s="19"/>
      <c r="B29" s="19">
        <v>56</v>
      </c>
      <c r="C29" s="19"/>
      <c r="D29" s="19" t="s">
        <v>25</v>
      </c>
      <c r="E29" s="47">
        <v>30</v>
      </c>
      <c r="F29" s="20">
        <f t="shared" si="0"/>
        <v>1.68</v>
      </c>
      <c r="G29" s="21"/>
    </row>
    <row r="30" spans="1:7" ht="19.5">
      <c r="A30" s="19"/>
      <c r="B30" s="19">
        <v>56</v>
      </c>
      <c r="C30" s="19"/>
      <c r="D30" s="19" t="s">
        <v>24</v>
      </c>
      <c r="E30" s="47">
        <v>10</v>
      </c>
      <c r="F30" s="20">
        <f t="shared" si="0"/>
        <v>0.56000000000000005</v>
      </c>
      <c r="G30" s="21"/>
    </row>
    <row r="31" spans="1:7" ht="19.5">
      <c r="A31" s="19"/>
      <c r="B31" s="19">
        <v>56</v>
      </c>
      <c r="C31" s="19" t="s">
        <v>212</v>
      </c>
      <c r="D31" s="19" t="s">
        <v>213</v>
      </c>
      <c r="E31" s="47">
        <v>30</v>
      </c>
      <c r="F31" s="20">
        <f t="shared" si="0"/>
        <v>1.68</v>
      </c>
      <c r="G31" s="21"/>
    </row>
    <row r="32" spans="1:7" ht="19.5">
      <c r="A32" s="19"/>
      <c r="B32" s="19">
        <v>56</v>
      </c>
      <c r="C32" s="19"/>
      <c r="D32" s="19" t="s">
        <v>214</v>
      </c>
      <c r="E32" s="47">
        <v>30</v>
      </c>
      <c r="F32" s="20">
        <f t="shared" si="0"/>
        <v>1.68</v>
      </c>
      <c r="G32" s="21"/>
    </row>
    <row r="33" spans="1:7" ht="19.5">
      <c r="A33" s="19"/>
      <c r="B33" s="19">
        <v>56</v>
      </c>
      <c r="C33" s="19"/>
      <c r="D33" s="19" t="s">
        <v>215</v>
      </c>
      <c r="E33" s="47">
        <v>5</v>
      </c>
      <c r="F33" s="20">
        <f t="shared" si="0"/>
        <v>0.28000000000000003</v>
      </c>
      <c r="G33" s="21"/>
    </row>
    <row r="34" spans="1:7" ht="19.5">
      <c r="A34" s="19"/>
      <c r="B34" s="19">
        <v>56</v>
      </c>
      <c r="C34" s="19"/>
      <c r="D34" s="19" t="s">
        <v>216</v>
      </c>
      <c r="E34" s="47">
        <v>10</v>
      </c>
      <c r="F34" s="20">
        <f t="shared" si="0"/>
        <v>0.56000000000000005</v>
      </c>
      <c r="G34" s="21"/>
    </row>
    <row r="35" spans="1:7" ht="19.5">
      <c r="A35" s="19"/>
      <c r="B35" s="19">
        <v>56</v>
      </c>
      <c r="C35" s="19"/>
      <c r="D35" s="19" t="s">
        <v>30</v>
      </c>
      <c r="E35" s="47">
        <v>20</v>
      </c>
      <c r="F35" s="20">
        <f t="shared" si="0"/>
        <v>1.1200000000000001</v>
      </c>
      <c r="G35" s="21"/>
    </row>
    <row r="36" spans="1:7" ht="19.5">
      <c r="A36" s="19"/>
      <c r="B36" s="19">
        <v>56</v>
      </c>
      <c r="C36" s="19"/>
      <c r="D36" s="19" t="s">
        <v>219</v>
      </c>
      <c r="E36" s="47">
        <v>30</v>
      </c>
      <c r="F36" s="20">
        <f t="shared" si="0"/>
        <v>1.68</v>
      </c>
      <c r="G36" s="21"/>
    </row>
    <row r="37" spans="1:7" ht="19.5">
      <c r="A37" s="19"/>
      <c r="B37" s="19">
        <v>56</v>
      </c>
      <c r="C37" s="19" t="s">
        <v>46</v>
      </c>
      <c r="D37" s="19" t="s">
        <v>46</v>
      </c>
      <c r="E37" s="47">
        <v>40</v>
      </c>
      <c r="F37" s="20">
        <f t="shared" si="0"/>
        <v>2.2400000000000002</v>
      </c>
      <c r="G37" s="21"/>
    </row>
  </sheetData>
  <autoFilter ref="A2:G2">
    <filterColumn colId="4"/>
  </autoFilter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topLeftCell="A11" workbookViewId="0">
      <selection activeCell="F37" sqref="F37"/>
    </sheetView>
  </sheetViews>
  <sheetFormatPr defaultRowHeight="16.5"/>
  <cols>
    <col min="1" max="1" width="5.5" customWidth="1"/>
    <col min="2" max="2" width="5.125" customWidth="1"/>
    <col min="3" max="3" width="18.625" customWidth="1"/>
    <col min="4" max="4" width="16.625" customWidth="1"/>
    <col min="5" max="5" width="7.625" customWidth="1"/>
    <col min="7" max="7" width="14.625" customWidth="1"/>
    <col min="8" max="8" width="0.25" hidden="1" customWidth="1"/>
    <col min="9" max="9" width="9" hidden="1" customWidth="1"/>
  </cols>
  <sheetData>
    <row r="1" spans="1:9" ht="21.75" customHeight="1">
      <c r="A1" s="57" t="s">
        <v>220</v>
      </c>
      <c r="B1" s="57"/>
      <c r="C1" s="57"/>
      <c r="D1" s="57"/>
      <c r="E1" s="57"/>
      <c r="F1" s="57"/>
      <c r="G1" s="57"/>
      <c r="H1" s="57"/>
      <c r="I1" s="57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200</v>
      </c>
      <c r="F2" s="1" t="s">
        <v>4</v>
      </c>
      <c r="G2" s="1" t="s">
        <v>5</v>
      </c>
    </row>
    <row r="3" spans="1:9" ht="17.25">
      <c r="A3" s="28">
        <v>42010</v>
      </c>
      <c r="B3" s="29">
        <v>56</v>
      </c>
      <c r="C3" s="29" t="s">
        <v>221</v>
      </c>
      <c r="D3" s="16" t="s">
        <v>222</v>
      </c>
      <c r="E3" s="50">
        <v>25</v>
      </c>
      <c r="F3" s="30">
        <f>(B3*E3)/1000</f>
        <v>1.4</v>
      </c>
      <c r="G3" s="31"/>
    </row>
    <row r="4" spans="1:9" ht="17.25">
      <c r="A4" s="16" t="s">
        <v>61</v>
      </c>
      <c r="B4" s="29">
        <v>56</v>
      </c>
      <c r="C4" s="16"/>
      <c r="D4" s="16" t="s">
        <v>144</v>
      </c>
      <c r="E4" s="50">
        <v>20</v>
      </c>
      <c r="F4" s="30">
        <f t="shared" ref="F4:F37" si="0">(B4*E4)/1000</f>
        <v>1.1200000000000001</v>
      </c>
      <c r="G4" s="31"/>
    </row>
    <row r="5" spans="1:9" ht="17.25">
      <c r="A5" s="16" t="s">
        <v>63</v>
      </c>
      <c r="B5" s="29">
        <v>56</v>
      </c>
      <c r="C5" s="16"/>
      <c r="D5" s="16" t="s">
        <v>42</v>
      </c>
      <c r="E5" s="50">
        <v>30</v>
      </c>
      <c r="F5" s="30">
        <f t="shared" si="0"/>
        <v>1.68</v>
      </c>
      <c r="G5" s="31"/>
    </row>
    <row r="6" spans="1:9" ht="17.25">
      <c r="A6" s="16"/>
      <c r="B6" s="29">
        <v>56</v>
      </c>
      <c r="C6" s="16"/>
      <c r="D6" s="16" t="s">
        <v>104</v>
      </c>
      <c r="E6" s="50">
        <v>20</v>
      </c>
      <c r="F6" s="30">
        <f t="shared" si="0"/>
        <v>1.1200000000000001</v>
      </c>
      <c r="G6" s="31"/>
    </row>
    <row r="7" spans="1:9" ht="17.25">
      <c r="A7" s="16"/>
      <c r="B7" s="29">
        <v>56</v>
      </c>
      <c r="C7" s="16"/>
      <c r="D7" s="16" t="s">
        <v>24</v>
      </c>
      <c r="E7" s="50">
        <v>20</v>
      </c>
      <c r="F7" s="30">
        <f t="shared" si="0"/>
        <v>1.1200000000000001</v>
      </c>
      <c r="G7" s="31"/>
    </row>
    <row r="8" spans="1:9" ht="17.25">
      <c r="A8" s="16"/>
      <c r="B8" s="29">
        <v>56</v>
      </c>
      <c r="C8" s="16"/>
      <c r="D8" s="16" t="s">
        <v>25</v>
      </c>
      <c r="E8" s="50">
        <v>20</v>
      </c>
      <c r="F8" s="30">
        <f t="shared" si="0"/>
        <v>1.1200000000000001</v>
      </c>
      <c r="G8" s="31"/>
    </row>
    <row r="9" spans="1:9" ht="17.25">
      <c r="A9" s="16"/>
      <c r="B9" s="29">
        <v>56</v>
      </c>
      <c r="C9" s="16" t="s">
        <v>162</v>
      </c>
      <c r="D9" s="16" t="s">
        <v>163</v>
      </c>
      <c r="E9" s="50">
        <v>0</v>
      </c>
      <c r="F9" s="30">
        <f t="shared" si="0"/>
        <v>0</v>
      </c>
      <c r="G9" s="31"/>
    </row>
    <row r="10" spans="1:9" ht="17.25">
      <c r="A10" s="16"/>
      <c r="B10" s="29">
        <v>56</v>
      </c>
      <c r="C10" s="16"/>
      <c r="D10" s="16" t="s">
        <v>223</v>
      </c>
      <c r="E10" s="50">
        <v>2</v>
      </c>
      <c r="F10" s="30">
        <f t="shared" si="0"/>
        <v>0.112</v>
      </c>
      <c r="G10" s="31"/>
    </row>
    <row r="11" spans="1:9" ht="17.25">
      <c r="A11" s="16"/>
      <c r="B11" s="29">
        <v>56</v>
      </c>
      <c r="C11" s="16"/>
      <c r="D11" s="16" t="s">
        <v>224</v>
      </c>
      <c r="E11" s="50">
        <v>5</v>
      </c>
      <c r="F11" s="30">
        <f t="shared" si="0"/>
        <v>0.28000000000000003</v>
      </c>
      <c r="G11" s="31"/>
    </row>
    <row r="12" spans="1:9" ht="17.25">
      <c r="A12" s="16"/>
      <c r="B12" s="29">
        <v>56</v>
      </c>
      <c r="C12" s="16" t="s">
        <v>225</v>
      </c>
      <c r="D12" s="16" t="s">
        <v>226</v>
      </c>
      <c r="E12" s="50">
        <v>100</v>
      </c>
      <c r="F12" s="30">
        <f t="shared" si="0"/>
        <v>5.6</v>
      </c>
      <c r="G12" s="31"/>
    </row>
    <row r="13" spans="1:9" ht="17.25">
      <c r="A13" s="16"/>
      <c r="B13" s="29">
        <v>56</v>
      </c>
      <c r="C13" s="16"/>
      <c r="D13" s="16" t="s">
        <v>227</v>
      </c>
      <c r="E13" s="50">
        <v>0</v>
      </c>
      <c r="F13" s="30">
        <f t="shared" si="0"/>
        <v>0</v>
      </c>
      <c r="G13" s="31"/>
    </row>
    <row r="14" spans="1:9" ht="17.25">
      <c r="A14" s="16"/>
      <c r="B14" s="29">
        <v>56</v>
      </c>
      <c r="C14" s="16" t="s">
        <v>66</v>
      </c>
      <c r="D14" s="16" t="s">
        <v>66</v>
      </c>
      <c r="E14" s="50">
        <v>40</v>
      </c>
      <c r="F14" s="30">
        <f t="shared" si="0"/>
        <v>2.2400000000000002</v>
      </c>
      <c r="G14" s="31"/>
    </row>
    <row r="15" spans="1:9" ht="17.25">
      <c r="A15" s="16"/>
      <c r="B15" s="29">
        <v>56</v>
      </c>
      <c r="C15" s="16" t="s">
        <v>228</v>
      </c>
      <c r="D15" s="16" t="s">
        <v>228</v>
      </c>
      <c r="E15" s="50">
        <v>60</v>
      </c>
      <c r="F15" s="32" t="s">
        <v>229</v>
      </c>
      <c r="G15" s="31"/>
    </row>
    <row r="16" spans="1:9" ht="17.25">
      <c r="A16" s="33"/>
      <c r="B16" s="33"/>
      <c r="C16" s="33"/>
      <c r="D16" s="33"/>
      <c r="E16" s="52"/>
      <c r="F16" s="34"/>
      <c r="G16" s="35"/>
    </row>
    <row r="17" spans="1:7" ht="17.25">
      <c r="A17" s="36">
        <v>42011</v>
      </c>
      <c r="B17" s="16">
        <v>55</v>
      </c>
      <c r="C17" s="16" t="s">
        <v>68</v>
      </c>
      <c r="D17" s="15" t="s">
        <v>88</v>
      </c>
      <c r="E17" s="48">
        <v>30</v>
      </c>
      <c r="F17" s="30">
        <f t="shared" si="0"/>
        <v>1.65</v>
      </c>
      <c r="G17" s="31"/>
    </row>
    <row r="18" spans="1:7" ht="17.25">
      <c r="A18" s="16" t="s">
        <v>89</v>
      </c>
      <c r="B18" s="16">
        <v>55</v>
      </c>
      <c r="C18" s="16"/>
      <c r="D18" s="16" t="s">
        <v>65</v>
      </c>
      <c r="E18" s="50">
        <v>15</v>
      </c>
      <c r="F18" s="30">
        <f t="shared" si="0"/>
        <v>0.82499999999999996</v>
      </c>
      <c r="G18" s="31"/>
    </row>
    <row r="19" spans="1:7" ht="17.25">
      <c r="A19" s="16" t="s">
        <v>90</v>
      </c>
      <c r="B19" s="16">
        <v>55</v>
      </c>
      <c r="C19" s="16"/>
      <c r="D19" s="16" t="s">
        <v>70</v>
      </c>
      <c r="E19" s="50">
        <v>5</v>
      </c>
      <c r="F19" s="30">
        <f t="shared" si="0"/>
        <v>0.27500000000000002</v>
      </c>
      <c r="G19" s="31"/>
    </row>
    <row r="20" spans="1:7" ht="17.25">
      <c r="A20" s="16"/>
      <c r="B20" s="16">
        <v>55</v>
      </c>
      <c r="C20" s="16" t="s">
        <v>230</v>
      </c>
      <c r="D20" s="16" t="s">
        <v>231</v>
      </c>
      <c r="E20" s="50">
        <v>20</v>
      </c>
      <c r="F20" s="30">
        <f t="shared" si="0"/>
        <v>1.1000000000000001</v>
      </c>
      <c r="G20" s="31"/>
    </row>
    <row r="21" spans="1:7" ht="17.25">
      <c r="A21" s="16"/>
      <c r="B21" s="16">
        <v>55</v>
      </c>
      <c r="C21" s="16"/>
      <c r="D21" s="16" t="s">
        <v>232</v>
      </c>
      <c r="E21" s="50">
        <v>10</v>
      </c>
      <c r="F21" s="30">
        <f t="shared" si="0"/>
        <v>0.55000000000000004</v>
      </c>
      <c r="G21" s="31"/>
    </row>
    <row r="22" spans="1:7" ht="17.25">
      <c r="A22" s="16"/>
      <c r="B22" s="16">
        <v>55</v>
      </c>
      <c r="C22" s="16" t="s">
        <v>71</v>
      </c>
      <c r="D22" s="16" t="s">
        <v>72</v>
      </c>
      <c r="E22" s="50">
        <v>50</v>
      </c>
      <c r="F22" s="30">
        <f t="shared" si="0"/>
        <v>2.75</v>
      </c>
      <c r="G22" s="31"/>
    </row>
    <row r="23" spans="1:7" ht="17.25">
      <c r="A23" s="16"/>
      <c r="B23" s="16">
        <v>55</v>
      </c>
      <c r="C23" s="16"/>
      <c r="D23" s="16" t="s">
        <v>233</v>
      </c>
      <c r="E23" s="50">
        <v>5</v>
      </c>
      <c r="F23" s="30">
        <f t="shared" si="0"/>
        <v>0.27500000000000002</v>
      </c>
      <c r="G23" s="31"/>
    </row>
    <row r="24" spans="1:7" ht="17.25">
      <c r="A24" s="16"/>
      <c r="B24" s="16">
        <v>55</v>
      </c>
      <c r="C24" s="16" t="s">
        <v>73</v>
      </c>
      <c r="D24" s="16" t="s">
        <v>66</v>
      </c>
      <c r="E24" s="50">
        <v>40</v>
      </c>
      <c r="F24" s="32">
        <f t="shared" si="0"/>
        <v>2.2000000000000002</v>
      </c>
      <c r="G24" s="31"/>
    </row>
    <row r="25" spans="1:7" ht="17.25">
      <c r="A25" s="33"/>
      <c r="B25" s="33"/>
      <c r="C25" s="33"/>
      <c r="D25" s="33"/>
      <c r="E25" s="52"/>
      <c r="F25" s="54"/>
      <c r="G25" s="35"/>
    </row>
    <row r="26" spans="1:7" ht="17.25">
      <c r="A26" s="36">
        <v>42011</v>
      </c>
      <c r="B26" s="16">
        <v>56</v>
      </c>
      <c r="C26" s="16" t="s">
        <v>234</v>
      </c>
      <c r="D26" s="16" t="s">
        <v>22</v>
      </c>
      <c r="E26" s="50">
        <v>30</v>
      </c>
      <c r="F26" s="32">
        <f t="shared" si="0"/>
        <v>1.68</v>
      </c>
      <c r="G26" s="31" t="s">
        <v>235</v>
      </c>
    </row>
    <row r="27" spans="1:7" ht="17.25">
      <c r="A27" s="16" t="s">
        <v>69</v>
      </c>
      <c r="B27" s="16">
        <v>56</v>
      </c>
      <c r="C27" s="16" t="s">
        <v>75</v>
      </c>
      <c r="D27" s="16" t="s">
        <v>76</v>
      </c>
      <c r="E27" s="50">
        <v>100</v>
      </c>
      <c r="F27" s="32">
        <f t="shared" si="0"/>
        <v>5.6</v>
      </c>
      <c r="G27" s="31"/>
    </row>
    <row r="28" spans="1:7" ht="17.25">
      <c r="A28" s="16" t="s">
        <v>77</v>
      </c>
      <c r="B28" s="16">
        <v>56</v>
      </c>
      <c r="C28" s="16"/>
      <c r="D28" s="16" t="s">
        <v>78</v>
      </c>
      <c r="E28" s="50">
        <v>30</v>
      </c>
      <c r="F28" s="32">
        <f t="shared" si="0"/>
        <v>1.68</v>
      </c>
      <c r="G28" s="31"/>
    </row>
    <row r="29" spans="1:7" ht="17.25">
      <c r="A29" s="16"/>
      <c r="B29" s="16">
        <v>56</v>
      </c>
      <c r="C29" s="16"/>
      <c r="D29" s="16" t="s">
        <v>79</v>
      </c>
      <c r="E29" s="50">
        <v>20</v>
      </c>
      <c r="F29" s="32">
        <f t="shared" si="0"/>
        <v>1.1200000000000001</v>
      </c>
      <c r="G29" s="31"/>
    </row>
    <row r="30" spans="1:7" ht="17.25">
      <c r="A30" s="37"/>
      <c r="B30" s="16">
        <v>56</v>
      </c>
      <c r="C30" s="37"/>
      <c r="D30" s="37" t="s">
        <v>80</v>
      </c>
      <c r="E30" s="53">
        <v>20</v>
      </c>
      <c r="F30" s="32">
        <f t="shared" si="0"/>
        <v>1.1200000000000001</v>
      </c>
      <c r="G30" s="38"/>
    </row>
    <row r="31" spans="1:7" ht="17.25">
      <c r="A31" s="16"/>
      <c r="B31" s="16">
        <v>56</v>
      </c>
      <c r="C31" s="16" t="s">
        <v>81</v>
      </c>
      <c r="D31" s="16" t="s">
        <v>82</v>
      </c>
      <c r="E31" s="50">
        <v>15</v>
      </c>
      <c r="F31" s="32">
        <f t="shared" si="0"/>
        <v>0.84</v>
      </c>
      <c r="G31" s="31"/>
    </row>
    <row r="32" spans="1:7" ht="17.25">
      <c r="A32" s="16"/>
      <c r="B32" s="16">
        <v>56</v>
      </c>
      <c r="C32" s="16"/>
      <c r="D32" s="16" t="s">
        <v>83</v>
      </c>
      <c r="E32" s="50">
        <v>20</v>
      </c>
      <c r="F32" s="32">
        <f t="shared" si="0"/>
        <v>1.1200000000000001</v>
      </c>
      <c r="G32" s="31"/>
    </row>
    <row r="33" spans="1:7" ht="17.25">
      <c r="A33" s="16"/>
      <c r="B33" s="16">
        <v>56</v>
      </c>
      <c r="C33" s="16"/>
      <c r="D33" s="16" t="s">
        <v>84</v>
      </c>
      <c r="E33" s="50">
        <v>10</v>
      </c>
      <c r="F33" s="32">
        <f t="shared" si="0"/>
        <v>0.56000000000000005</v>
      </c>
      <c r="G33" s="31"/>
    </row>
    <row r="34" spans="1:7" ht="17.25">
      <c r="A34" s="16"/>
      <c r="B34" s="16">
        <v>56</v>
      </c>
      <c r="C34" s="16"/>
      <c r="D34" s="16" t="s">
        <v>85</v>
      </c>
      <c r="E34" s="50">
        <v>10</v>
      </c>
      <c r="F34" s="32">
        <f t="shared" si="0"/>
        <v>0.56000000000000005</v>
      </c>
      <c r="G34" s="31"/>
    </row>
    <row r="35" spans="1:7" ht="17.25">
      <c r="A35" s="16"/>
      <c r="B35" s="16">
        <v>56</v>
      </c>
      <c r="C35" s="16"/>
      <c r="D35" s="16" t="s">
        <v>236</v>
      </c>
      <c r="E35" s="50">
        <v>5</v>
      </c>
      <c r="F35" s="32">
        <f t="shared" si="0"/>
        <v>0.28000000000000003</v>
      </c>
      <c r="G35" s="31"/>
    </row>
    <row r="36" spans="1:7" ht="17.25">
      <c r="A36" s="16"/>
      <c r="B36" s="16">
        <v>56</v>
      </c>
      <c r="C36" s="16"/>
      <c r="D36" s="16" t="s">
        <v>86</v>
      </c>
      <c r="E36" s="50">
        <v>30</v>
      </c>
      <c r="F36" s="32">
        <f t="shared" si="0"/>
        <v>1.68</v>
      </c>
      <c r="G36" s="31"/>
    </row>
    <row r="37" spans="1:7" ht="17.25">
      <c r="A37" s="16"/>
      <c r="B37" s="16">
        <v>56</v>
      </c>
      <c r="C37" s="16" t="s">
        <v>73</v>
      </c>
      <c r="D37" s="16" t="s">
        <v>73</v>
      </c>
      <c r="E37" s="50">
        <v>40</v>
      </c>
      <c r="F37" s="32">
        <f t="shared" si="0"/>
        <v>2.2400000000000002</v>
      </c>
      <c r="G37" s="31"/>
    </row>
  </sheetData>
  <autoFilter ref="A2:G2">
    <filterColumn colId="4"/>
  </autoFilter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workbookViewId="0">
      <selection activeCell="G30" sqref="G30"/>
    </sheetView>
  </sheetViews>
  <sheetFormatPr defaultRowHeight="16.5"/>
  <cols>
    <col min="1" max="1" width="6.25" customWidth="1"/>
    <col min="2" max="2" width="5.125" customWidth="1"/>
    <col min="3" max="3" width="17.875" customWidth="1"/>
    <col min="4" max="4" width="16.625" customWidth="1"/>
    <col min="5" max="5" width="7.125" customWidth="1"/>
    <col min="7" max="7" width="17.875" customWidth="1"/>
    <col min="8" max="8" width="0.25" customWidth="1"/>
    <col min="9" max="9" width="9" hidden="1" customWidth="1"/>
  </cols>
  <sheetData>
    <row r="1" spans="1:9" ht="21.75" customHeight="1">
      <c r="A1" s="57" t="s">
        <v>237</v>
      </c>
      <c r="B1" s="57"/>
      <c r="C1" s="57"/>
      <c r="D1" s="57"/>
      <c r="E1" s="57"/>
      <c r="F1" s="57"/>
      <c r="G1" s="57"/>
      <c r="H1" s="57"/>
      <c r="I1" s="57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200</v>
      </c>
      <c r="F2" s="1" t="s">
        <v>4</v>
      </c>
      <c r="G2" s="1" t="s">
        <v>5</v>
      </c>
    </row>
    <row r="3" spans="1:9" ht="20.25">
      <c r="A3" s="4">
        <v>42011</v>
      </c>
      <c r="B3" s="5">
        <v>56</v>
      </c>
      <c r="C3" s="5" t="s">
        <v>91</v>
      </c>
      <c r="D3" s="6" t="s">
        <v>92</v>
      </c>
      <c r="E3" s="44">
        <v>0.2</v>
      </c>
      <c r="F3" s="7">
        <v>0.2</v>
      </c>
      <c r="G3" s="8"/>
    </row>
    <row r="4" spans="1:9" ht="20.25">
      <c r="A4" s="6" t="s">
        <v>69</v>
      </c>
      <c r="B4" s="5">
        <v>56</v>
      </c>
      <c r="C4" s="6" t="s">
        <v>93</v>
      </c>
      <c r="D4" s="6" t="s">
        <v>94</v>
      </c>
      <c r="E4" s="44">
        <v>30</v>
      </c>
      <c r="F4" s="7">
        <f>(B4*E4)/1000</f>
        <v>1.68</v>
      </c>
      <c r="G4" s="8"/>
    </row>
    <row r="5" spans="1:9" ht="20.25">
      <c r="A5" s="6" t="s">
        <v>63</v>
      </c>
      <c r="B5" s="5">
        <v>56</v>
      </c>
      <c r="C5" s="6"/>
      <c r="D5" s="6" t="s">
        <v>56</v>
      </c>
      <c r="E5" s="44">
        <v>20</v>
      </c>
      <c r="F5" s="7">
        <f t="shared" ref="F5:F30" si="0">(B5*E5)/1000</f>
        <v>1.1200000000000001</v>
      </c>
      <c r="G5" s="8"/>
    </row>
    <row r="6" spans="1:9" ht="20.25">
      <c r="A6" s="6"/>
      <c r="B6" s="5">
        <v>56</v>
      </c>
      <c r="C6" s="6"/>
      <c r="D6" s="6" t="s">
        <v>67</v>
      </c>
      <c r="E6" s="44">
        <v>20</v>
      </c>
      <c r="F6" s="7">
        <f t="shared" si="0"/>
        <v>1.1200000000000001</v>
      </c>
      <c r="G6" s="8" t="s">
        <v>96</v>
      </c>
    </row>
    <row r="7" spans="1:9" ht="20.25">
      <c r="A7" s="6"/>
      <c r="B7" s="5">
        <v>56</v>
      </c>
      <c r="C7" s="6" t="s">
        <v>97</v>
      </c>
      <c r="D7" s="6" t="s">
        <v>98</v>
      </c>
      <c r="E7" s="44">
        <v>150</v>
      </c>
      <c r="F7" s="7">
        <f t="shared" si="0"/>
        <v>8.4</v>
      </c>
      <c r="G7" s="8"/>
    </row>
    <row r="8" spans="1:9" ht="20.25">
      <c r="A8" s="6"/>
      <c r="B8" s="5">
        <v>56</v>
      </c>
      <c r="C8" s="6"/>
      <c r="D8" s="6" t="s">
        <v>99</v>
      </c>
      <c r="E8" s="44">
        <v>20</v>
      </c>
      <c r="F8" s="7">
        <f t="shared" si="0"/>
        <v>1.1200000000000001</v>
      </c>
      <c r="G8" s="8"/>
    </row>
    <row r="9" spans="1:9" ht="20.25">
      <c r="A9" s="6"/>
      <c r="B9" s="5">
        <v>56</v>
      </c>
      <c r="C9" s="6"/>
      <c r="D9" s="6" t="s">
        <v>100</v>
      </c>
      <c r="E9" s="44">
        <v>30</v>
      </c>
      <c r="F9" s="7">
        <f t="shared" si="0"/>
        <v>1.68</v>
      </c>
      <c r="G9" s="8"/>
    </row>
    <row r="10" spans="1:9" ht="20.25">
      <c r="A10" s="6"/>
      <c r="B10" s="5">
        <v>56</v>
      </c>
      <c r="C10" s="6"/>
      <c r="D10" s="6" t="s">
        <v>101</v>
      </c>
      <c r="E10" s="44">
        <v>10</v>
      </c>
      <c r="F10" s="7">
        <f t="shared" si="0"/>
        <v>0.56000000000000005</v>
      </c>
      <c r="G10" s="8"/>
    </row>
    <row r="11" spans="1:9" ht="20.25">
      <c r="A11" s="6"/>
      <c r="B11" s="5">
        <v>56</v>
      </c>
      <c r="C11" s="6" t="s">
        <v>102</v>
      </c>
      <c r="D11" s="6" t="s">
        <v>102</v>
      </c>
      <c r="E11" s="44">
        <v>60</v>
      </c>
      <c r="F11" s="7">
        <f t="shared" si="0"/>
        <v>3.36</v>
      </c>
      <c r="G11" s="8" t="s">
        <v>96</v>
      </c>
    </row>
    <row r="12" spans="1:9" ht="20.25">
      <c r="A12" s="6"/>
      <c r="B12" s="5">
        <v>56</v>
      </c>
      <c r="C12" s="6" t="s">
        <v>66</v>
      </c>
      <c r="D12" s="6" t="s">
        <v>66</v>
      </c>
      <c r="E12" s="44">
        <v>40</v>
      </c>
      <c r="F12" s="7">
        <f t="shared" si="0"/>
        <v>2.2400000000000002</v>
      </c>
      <c r="G12" s="8"/>
    </row>
    <row r="13" spans="1:9" ht="20.25">
      <c r="A13" s="10"/>
      <c r="B13" s="10"/>
      <c r="C13" s="10"/>
      <c r="D13" s="10"/>
      <c r="E13" s="45"/>
      <c r="F13" s="11"/>
      <c r="G13" s="12"/>
    </row>
    <row r="14" spans="1:9" ht="20.25">
      <c r="A14" s="13">
        <v>42012</v>
      </c>
      <c r="B14" s="6">
        <v>55</v>
      </c>
      <c r="C14" s="6" t="s">
        <v>103</v>
      </c>
      <c r="D14" s="6" t="s">
        <v>104</v>
      </c>
      <c r="E14" s="44">
        <v>30</v>
      </c>
      <c r="F14" s="7">
        <f t="shared" si="0"/>
        <v>1.65</v>
      </c>
      <c r="G14" s="8"/>
    </row>
    <row r="15" spans="1:9" ht="20.25">
      <c r="A15" s="6" t="s">
        <v>105</v>
      </c>
      <c r="B15" s="6">
        <v>55</v>
      </c>
      <c r="C15" s="6"/>
      <c r="D15" s="6" t="s">
        <v>94</v>
      </c>
      <c r="E15" s="44">
        <v>15</v>
      </c>
      <c r="F15" s="7">
        <f t="shared" si="0"/>
        <v>0.82499999999999996</v>
      </c>
      <c r="G15" s="8"/>
    </row>
    <row r="16" spans="1:9" ht="20.25">
      <c r="A16" s="6" t="s">
        <v>106</v>
      </c>
      <c r="B16" s="6">
        <v>55</v>
      </c>
      <c r="C16" s="6"/>
      <c r="D16" s="6" t="s">
        <v>107</v>
      </c>
      <c r="E16" s="44">
        <v>20</v>
      </c>
      <c r="F16" s="7">
        <f t="shared" si="0"/>
        <v>1.1000000000000001</v>
      </c>
      <c r="G16" s="8" t="s">
        <v>37</v>
      </c>
    </row>
    <row r="17" spans="1:7" ht="20.25">
      <c r="A17" s="6"/>
      <c r="B17" s="6">
        <v>55</v>
      </c>
      <c r="C17" s="6" t="s">
        <v>108</v>
      </c>
      <c r="D17" s="6" t="s">
        <v>109</v>
      </c>
      <c r="E17" s="44">
        <v>100</v>
      </c>
      <c r="F17" s="7">
        <f t="shared" si="0"/>
        <v>5.5</v>
      </c>
      <c r="G17" s="8"/>
    </row>
    <row r="18" spans="1:7" ht="20.25">
      <c r="A18" s="6"/>
      <c r="B18" s="6">
        <v>55</v>
      </c>
      <c r="C18" s="6" t="s">
        <v>110</v>
      </c>
      <c r="D18" s="6" t="s">
        <v>111</v>
      </c>
      <c r="E18" s="44">
        <v>60</v>
      </c>
      <c r="F18" s="7">
        <f t="shared" si="0"/>
        <v>3.3</v>
      </c>
      <c r="G18" s="8"/>
    </row>
    <row r="19" spans="1:7" ht="20.25">
      <c r="A19" s="6"/>
      <c r="B19" s="6">
        <v>55</v>
      </c>
      <c r="C19" s="6" t="s">
        <v>66</v>
      </c>
      <c r="D19" s="6" t="s">
        <v>66</v>
      </c>
      <c r="E19" s="44">
        <v>40</v>
      </c>
      <c r="F19" s="7">
        <f t="shared" si="0"/>
        <v>2.2000000000000002</v>
      </c>
      <c r="G19" s="8"/>
    </row>
    <row r="20" spans="1:7" ht="20.25">
      <c r="A20" s="10"/>
      <c r="B20" s="10"/>
      <c r="C20" s="10"/>
      <c r="D20" s="10"/>
      <c r="E20" s="45"/>
      <c r="F20" s="11"/>
      <c r="G20" s="12"/>
    </row>
    <row r="21" spans="1:7" ht="20.25">
      <c r="A21" s="13">
        <v>42012</v>
      </c>
      <c r="B21" s="6">
        <v>56</v>
      </c>
      <c r="C21" s="6" t="s">
        <v>113</v>
      </c>
      <c r="D21" s="6" t="s">
        <v>114</v>
      </c>
      <c r="E21" s="44">
        <v>2</v>
      </c>
      <c r="F21" s="7">
        <f t="shared" si="0"/>
        <v>0.112</v>
      </c>
      <c r="G21" s="8"/>
    </row>
    <row r="22" spans="1:7" ht="20.25">
      <c r="A22" s="6" t="s">
        <v>105</v>
      </c>
      <c r="B22" s="6">
        <v>56</v>
      </c>
      <c r="C22" s="6" t="s">
        <v>115</v>
      </c>
      <c r="D22" s="6" t="s">
        <v>116</v>
      </c>
      <c r="E22" s="44">
        <v>30</v>
      </c>
      <c r="F22" s="7">
        <f t="shared" si="0"/>
        <v>1.68</v>
      </c>
      <c r="G22" s="8"/>
    </row>
    <row r="23" spans="1:7" ht="20.25">
      <c r="A23" s="6" t="s">
        <v>77</v>
      </c>
      <c r="B23" s="6">
        <v>56</v>
      </c>
      <c r="C23" s="6"/>
      <c r="D23" s="6" t="s">
        <v>117</v>
      </c>
      <c r="E23" s="44">
        <v>10</v>
      </c>
      <c r="F23" s="7">
        <f t="shared" si="0"/>
        <v>0.56000000000000005</v>
      </c>
      <c r="G23" s="8" t="s">
        <v>207</v>
      </c>
    </row>
    <row r="24" spans="1:7" ht="20.25">
      <c r="A24" s="6"/>
      <c r="B24" s="6">
        <v>56</v>
      </c>
      <c r="C24" s="6" t="s">
        <v>118</v>
      </c>
      <c r="D24" s="6" t="s">
        <v>119</v>
      </c>
      <c r="E24" s="44">
        <v>180</v>
      </c>
      <c r="F24" s="7">
        <f t="shared" si="0"/>
        <v>10.08</v>
      </c>
      <c r="G24" s="8"/>
    </row>
    <row r="25" spans="1:7" ht="20.25">
      <c r="A25" s="39"/>
      <c r="B25" s="6">
        <v>56</v>
      </c>
      <c r="C25" s="39" t="s">
        <v>120</v>
      </c>
      <c r="D25" s="39" t="s">
        <v>120</v>
      </c>
      <c r="E25" s="55">
        <v>30</v>
      </c>
      <c r="F25" s="7">
        <f t="shared" si="0"/>
        <v>1.68</v>
      </c>
      <c r="G25" s="41"/>
    </row>
    <row r="26" spans="1:7" ht="20.25">
      <c r="A26" s="6"/>
      <c r="B26" s="6">
        <v>56</v>
      </c>
      <c r="C26" s="6" t="s">
        <v>121</v>
      </c>
      <c r="D26" s="6" t="s">
        <v>122</v>
      </c>
      <c r="E26" s="44">
        <v>30</v>
      </c>
      <c r="F26" s="7">
        <f t="shared" si="0"/>
        <v>1.68</v>
      </c>
      <c r="G26" s="8"/>
    </row>
    <row r="27" spans="1:7" ht="20.25">
      <c r="A27" s="6"/>
      <c r="B27" s="6">
        <v>56</v>
      </c>
      <c r="C27" s="6"/>
      <c r="D27" s="6" t="s">
        <v>117</v>
      </c>
      <c r="E27" s="44">
        <v>20</v>
      </c>
      <c r="F27" s="7">
        <f t="shared" si="0"/>
        <v>1.1200000000000001</v>
      </c>
      <c r="G27" s="8"/>
    </row>
    <row r="28" spans="1:7" ht="20.25">
      <c r="A28" s="6"/>
      <c r="B28" s="6">
        <v>56</v>
      </c>
      <c r="C28" s="6"/>
      <c r="D28" s="6" t="s">
        <v>123</v>
      </c>
      <c r="E28" s="44">
        <v>5</v>
      </c>
      <c r="F28" s="7">
        <f t="shared" si="0"/>
        <v>0.28000000000000003</v>
      </c>
      <c r="G28" s="8"/>
    </row>
    <row r="29" spans="1:7" ht="20.25">
      <c r="A29" s="6"/>
      <c r="B29" s="6">
        <v>56</v>
      </c>
      <c r="C29" s="6"/>
      <c r="D29" s="6" t="s">
        <v>124</v>
      </c>
      <c r="E29" s="44">
        <v>5</v>
      </c>
      <c r="F29" s="7">
        <f t="shared" si="0"/>
        <v>0.28000000000000003</v>
      </c>
      <c r="G29" s="8"/>
    </row>
    <row r="30" spans="1:7" ht="20.25">
      <c r="A30" s="6"/>
      <c r="B30" s="6">
        <v>56</v>
      </c>
      <c r="C30" s="6" t="s">
        <v>66</v>
      </c>
      <c r="D30" s="6" t="s">
        <v>66</v>
      </c>
      <c r="E30" s="44">
        <v>40</v>
      </c>
      <c r="F30" s="7">
        <f t="shared" si="0"/>
        <v>2.2400000000000002</v>
      </c>
      <c r="G30" s="8"/>
    </row>
  </sheetData>
  <autoFilter ref="A2:G2">
    <filterColumn colId="4"/>
  </autoFilter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topLeftCell="A18" workbookViewId="0">
      <selection activeCell="G36" sqref="G36"/>
    </sheetView>
  </sheetViews>
  <sheetFormatPr defaultRowHeight="16.5"/>
  <cols>
    <col min="1" max="1" width="6.25" customWidth="1"/>
    <col min="2" max="2" width="5.125" customWidth="1"/>
    <col min="3" max="3" width="18.375" customWidth="1"/>
    <col min="4" max="4" width="16.625" customWidth="1"/>
    <col min="5" max="5" width="7.875" customWidth="1"/>
    <col min="7" max="7" width="15" customWidth="1"/>
    <col min="8" max="8" width="0.25" hidden="1" customWidth="1"/>
    <col min="9" max="9" width="9" hidden="1" customWidth="1"/>
  </cols>
  <sheetData>
    <row r="1" spans="1:9" ht="21.75" customHeight="1">
      <c r="A1" s="57" t="s">
        <v>238</v>
      </c>
      <c r="B1" s="57"/>
      <c r="C1" s="57"/>
      <c r="D1" s="57"/>
      <c r="E1" s="57"/>
      <c r="F1" s="57"/>
      <c r="G1" s="57"/>
      <c r="H1" s="57"/>
      <c r="I1" s="57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200</v>
      </c>
      <c r="F2" s="1" t="s">
        <v>4</v>
      </c>
      <c r="G2" s="1" t="s">
        <v>5</v>
      </c>
    </row>
    <row r="3" spans="1:9" ht="20.25">
      <c r="A3" s="4">
        <v>42012</v>
      </c>
      <c r="B3" s="5">
        <v>56</v>
      </c>
      <c r="C3" s="5" t="s">
        <v>125</v>
      </c>
      <c r="D3" s="6" t="s">
        <v>128</v>
      </c>
      <c r="E3" s="44">
        <v>2</v>
      </c>
      <c r="F3" s="7">
        <v>0.2</v>
      </c>
      <c r="G3" s="8"/>
    </row>
    <row r="4" spans="1:9" ht="20.25">
      <c r="A4" s="6" t="s">
        <v>105</v>
      </c>
      <c r="B4" s="5">
        <v>56</v>
      </c>
      <c r="C4" s="6" t="s">
        <v>126</v>
      </c>
      <c r="D4" s="6" t="s">
        <v>129</v>
      </c>
      <c r="E4" s="44">
        <v>20</v>
      </c>
      <c r="F4" s="7">
        <f>(B4*E4)/1000</f>
        <v>1.1200000000000001</v>
      </c>
      <c r="G4" s="8"/>
    </row>
    <row r="5" spans="1:9" ht="20.25">
      <c r="A5" s="6" t="s">
        <v>38</v>
      </c>
      <c r="B5" s="5">
        <v>56</v>
      </c>
      <c r="C5" s="6"/>
      <c r="D5" s="6" t="s">
        <v>9</v>
      </c>
      <c r="E5" s="44">
        <v>15</v>
      </c>
      <c r="F5" s="7">
        <f t="shared" ref="F5:F36" si="0">(B5*E5)/1000</f>
        <v>0.84</v>
      </c>
      <c r="G5" s="8"/>
    </row>
    <row r="6" spans="1:9" ht="20.25">
      <c r="A6" s="6"/>
      <c r="B6" s="5">
        <v>56</v>
      </c>
      <c r="C6" s="6"/>
      <c r="D6" s="6" t="s">
        <v>64</v>
      </c>
      <c r="E6" s="44">
        <v>20</v>
      </c>
      <c r="F6" s="7">
        <f t="shared" si="0"/>
        <v>1.1200000000000001</v>
      </c>
      <c r="G6" s="8"/>
    </row>
    <row r="7" spans="1:9" ht="20.25">
      <c r="A7" s="6"/>
      <c r="B7" s="5">
        <v>56</v>
      </c>
      <c r="C7" s="6"/>
      <c r="D7" s="6" t="s">
        <v>52</v>
      </c>
      <c r="E7" s="44">
        <v>5</v>
      </c>
      <c r="F7" s="7">
        <f t="shared" si="0"/>
        <v>0.28000000000000003</v>
      </c>
      <c r="G7" s="8"/>
    </row>
    <row r="8" spans="1:9" ht="20.25">
      <c r="A8" s="6"/>
      <c r="B8" s="5">
        <v>56</v>
      </c>
      <c r="C8" s="6"/>
      <c r="D8" s="6" t="s">
        <v>22</v>
      </c>
      <c r="E8" s="44">
        <v>15</v>
      </c>
      <c r="F8" s="7">
        <f t="shared" si="0"/>
        <v>0.84</v>
      </c>
      <c r="G8" s="8"/>
    </row>
    <row r="9" spans="1:9" ht="20.25">
      <c r="A9" s="6"/>
      <c r="B9" s="5">
        <v>56</v>
      </c>
      <c r="C9" s="6" t="s">
        <v>239</v>
      </c>
      <c r="D9" s="6" t="s">
        <v>240</v>
      </c>
      <c r="E9" s="44">
        <v>100</v>
      </c>
      <c r="F9" s="7">
        <f t="shared" si="0"/>
        <v>5.6</v>
      </c>
      <c r="G9" s="8"/>
    </row>
    <row r="10" spans="1:9" ht="20.25">
      <c r="A10" s="6"/>
      <c r="B10" s="5">
        <v>56</v>
      </c>
      <c r="C10" s="6"/>
      <c r="D10" s="6" t="s">
        <v>57</v>
      </c>
      <c r="E10" s="44">
        <v>20</v>
      </c>
      <c r="F10" s="7">
        <f t="shared" si="0"/>
        <v>1.1200000000000001</v>
      </c>
      <c r="G10" s="14"/>
    </row>
    <row r="11" spans="1:9" ht="20.25">
      <c r="A11" s="6"/>
      <c r="B11" s="5">
        <v>56</v>
      </c>
      <c r="C11" s="6"/>
      <c r="D11" s="6" t="s">
        <v>64</v>
      </c>
      <c r="E11" s="44">
        <v>20</v>
      </c>
      <c r="F11" s="7">
        <f t="shared" si="0"/>
        <v>1.1200000000000001</v>
      </c>
      <c r="G11" s="14"/>
    </row>
    <row r="12" spans="1:9" ht="20.25">
      <c r="A12" s="6"/>
      <c r="B12" s="5">
        <v>56</v>
      </c>
      <c r="C12" s="6"/>
      <c r="D12" s="6" t="s">
        <v>241</v>
      </c>
      <c r="E12" s="44">
        <v>1</v>
      </c>
      <c r="F12" s="7">
        <f t="shared" si="0"/>
        <v>5.6000000000000001E-2</v>
      </c>
      <c r="G12" s="14"/>
    </row>
    <row r="13" spans="1:9" ht="20.25">
      <c r="A13" s="6"/>
      <c r="B13" s="5">
        <v>56</v>
      </c>
      <c r="C13" s="6"/>
      <c r="D13" s="6" t="s">
        <v>206</v>
      </c>
      <c r="E13" s="44">
        <v>10</v>
      </c>
      <c r="F13" s="7">
        <f t="shared" si="0"/>
        <v>0.56000000000000005</v>
      </c>
      <c r="G13" s="14"/>
    </row>
    <row r="14" spans="1:9" ht="20.25">
      <c r="A14" s="6"/>
      <c r="B14" s="5">
        <v>56</v>
      </c>
      <c r="C14" s="6"/>
      <c r="D14" s="6" t="s">
        <v>242</v>
      </c>
      <c r="E14" s="44">
        <v>5</v>
      </c>
      <c r="F14" s="7">
        <f t="shared" si="0"/>
        <v>0.28000000000000003</v>
      </c>
      <c r="G14" s="14"/>
    </row>
    <row r="15" spans="1:9" ht="20.25">
      <c r="A15" s="6"/>
      <c r="B15" s="5">
        <v>56</v>
      </c>
      <c r="C15" s="6" t="s">
        <v>127</v>
      </c>
      <c r="D15" s="6" t="s">
        <v>130</v>
      </c>
      <c r="E15" s="44">
        <v>25</v>
      </c>
      <c r="F15" s="7">
        <f t="shared" si="0"/>
        <v>1.4</v>
      </c>
      <c r="G15" s="42"/>
    </row>
    <row r="16" spans="1:9" ht="20.25">
      <c r="A16" s="6"/>
      <c r="B16" s="5">
        <v>56</v>
      </c>
      <c r="C16" s="6" t="s">
        <v>13</v>
      </c>
      <c r="D16" s="6" t="s">
        <v>13</v>
      </c>
      <c r="E16" s="44">
        <v>40</v>
      </c>
      <c r="F16" s="7">
        <f t="shared" si="0"/>
        <v>2.2400000000000002</v>
      </c>
      <c r="G16" s="8"/>
    </row>
    <row r="17" spans="1:7" ht="20.25">
      <c r="A17" s="10"/>
      <c r="B17" s="10"/>
      <c r="C17" s="10"/>
      <c r="D17" s="10"/>
      <c r="E17" s="45"/>
      <c r="F17" s="11"/>
      <c r="G17" s="12"/>
    </row>
    <row r="18" spans="1:7" ht="20.25">
      <c r="A18" s="13">
        <v>42013</v>
      </c>
      <c r="B18" s="6">
        <v>55</v>
      </c>
      <c r="C18" s="6" t="s">
        <v>132</v>
      </c>
      <c r="D18" s="6" t="s">
        <v>135</v>
      </c>
      <c r="E18" s="44">
        <v>25</v>
      </c>
      <c r="F18" s="7">
        <f t="shared" si="0"/>
        <v>1.375</v>
      </c>
      <c r="G18" s="8" t="s">
        <v>142</v>
      </c>
    </row>
    <row r="19" spans="1:7" ht="20.25">
      <c r="A19" s="6" t="s">
        <v>131</v>
      </c>
      <c r="B19" s="6">
        <v>55</v>
      </c>
      <c r="C19" s="6" t="s">
        <v>133</v>
      </c>
      <c r="D19" s="6" t="s">
        <v>136</v>
      </c>
      <c r="E19" s="44">
        <v>10</v>
      </c>
      <c r="F19" s="7">
        <f t="shared" si="0"/>
        <v>0.55000000000000004</v>
      </c>
      <c r="G19" s="8"/>
    </row>
    <row r="20" spans="1:7" ht="20.25">
      <c r="A20" s="6" t="s">
        <v>10</v>
      </c>
      <c r="B20" s="6">
        <v>55</v>
      </c>
      <c r="C20" s="6"/>
      <c r="D20" s="6" t="s">
        <v>12</v>
      </c>
      <c r="E20" s="44">
        <v>120</v>
      </c>
      <c r="F20" s="7">
        <f t="shared" si="0"/>
        <v>6.6</v>
      </c>
      <c r="G20" s="8"/>
    </row>
    <row r="21" spans="1:7" ht="20.25">
      <c r="A21" s="6"/>
      <c r="B21" s="6">
        <v>55</v>
      </c>
      <c r="C21" s="6" t="s">
        <v>243</v>
      </c>
      <c r="D21" s="6" t="s">
        <v>137</v>
      </c>
      <c r="E21" s="44">
        <v>50</v>
      </c>
      <c r="F21" s="7">
        <f t="shared" si="0"/>
        <v>2.75</v>
      </c>
      <c r="G21" s="8"/>
    </row>
    <row r="22" spans="1:7" ht="20.25">
      <c r="A22" s="6"/>
      <c r="B22" s="6">
        <v>55</v>
      </c>
      <c r="C22" s="6"/>
      <c r="D22" s="6" t="s">
        <v>138</v>
      </c>
      <c r="E22" s="44">
        <v>10</v>
      </c>
      <c r="F22" s="7">
        <f t="shared" si="0"/>
        <v>0.55000000000000004</v>
      </c>
      <c r="G22" s="8"/>
    </row>
    <row r="23" spans="1:7" ht="20.25">
      <c r="A23" s="6"/>
      <c r="B23" s="6">
        <v>55</v>
      </c>
      <c r="C23" s="6"/>
      <c r="D23" s="6" t="s">
        <v>244</v>
      </c>
      <c r="E23" s="44">
        <v>0</v>
      </c>
      <c r="F23" s="7">
        <f t="shared" si="0"/>
        <v>0</v>
      </c>
      <c r="G23" s="8" t="s">
        <v>142</v>
      </c>
    </row>
    <row r="24" spans="1:7" ht="20.25">
      <c r="A24" s="6"/>
      <c r="B24" s="6">
        <v>55</v>
      </c>
      <c r="C24" s="6" t="s">
        <v>134</v>
      </c>
      <c r="D24" s="6" t="s">
        <v>134</v>
      </c>
      <c r="E24" s="44">
        <v>40</v>
      </c>
      <c r="F24" s="7">
        <f t="shared" si="0"/>
        <v>2.2000000000000002</v>
      </c>
      <c r="G24" s="8"/>
    </row>
    <row r="25" spans="1:7" ht="20.25">
      <c r="A25" s="10"/>
      <c r="B25" s="10"/>
      <c r="C25" s="10"/>
      <c r="D25" s="10"/>
      <c r="E25" s="45"/>
      <c r="F25" s="11"/>
      <c r="G25" s="12"/>
    </row>
    <row r="26" spans="1:7" ht="20.25">
      <c r="A26" s="13">
        <v>42013</v>
      </c>
      <c r="B26" s="6">
        <v>56</v>
      </c>
      <c r="C26" s="6" t="s">
        <v>91</v>
      </c>
      <c r="D26" s="6" t="s">
        <v>92</v>
      </c>
      <c r="E26" s="44">
        <v>2</v>
      </c>
      <c r="F26" s="7">
        <f t="shared" si="0"/>
        <v>0.112</v>
      </c>
      <c r="G26" s="8"/>
    </row>
    <row r="27" spans="1:7" ht="20.25">
      <c r="A27" s="6" t="s">
        <v>131</v>
      </c>
      <c r="B27" s="6">
        <v>56</v>
      </c>
      <c r="C27" s="6" t="s">
        <v>139</v>
      </c>
      <c r="D27" s="6" t="s">
        <v>143</v>
      </c>
      <c r="E27" s="44">
        <v>30</v>
      </c>
      <c r="F27" s="9">
        <f t="shared" si="0"/>
        <v>1.68</v>
      </c>
      <c r="G27" s="8"/>
    </row>
    <row r="28" spans="1:7" ht="20.25">
      <c r="A28" s="6" t="s">
        <v>19</v>
      </c>
      <c r="B28" s="6">
        <v>56</v>
      </c>
      <c r="C28" s="6"/>
      <c r="D28" s="6" t="s">
        <v>41</v>
      </c>
      <c r="E28" s="44">
        <v>20</v>
      </c>
      <c r="F28" s="9">
        <f t="shared" si="0"/>
        <v>1.1200000000000001</v>
      </c>
      <c r="G28" s="8" t="s">
        <v>142</v>
      </c>
    </row>
    <row r="29" spans="1:7" ht="20.25">
      <c r="A29" s="39"/>
      <c r="B29" s="6">
        <v>56</v>
      </c>
      <c r="C29" s="39" t="s">
        <v>140</v>
      </c>
      <c r="D29" s="39" t="s">
        <v>245</v>
      </c>
      <c r="E29" s="55">
        <v>120</v>
      </c>
      <c r="F29" s="9">
        <f t="shared" si="0"/>
        <v>6.72</v>
      </c>
      <c r="G29" s="41"/>
    </row>
    <row r="30" spans="1:7" ht="20.25">
      <c r="A30" s="6"/>
      <c r="B30" s="6">
        <v>56</v>
      </c>
      <c r="C30" s="6"/>
      <c r="D30" s="6" t="s">
        <v>57</v>
      </c>
      <c r="E30" s="44">
        <v>30</v>
      </c>
      <c r="F30" s="9">
        <f t="shared" si="0"/>
        <v>1.68</v>
      </c>
      <c r="G30" s="8"/>
    </row>
    <row r="31" spans="1:7" ht="20.25">
      <c r="A31" s="6"/>
      <c r="B31" s="6">
        <v>56</v>
      </c>
      <c r="C31" s="6"/>
      <c r="D31" s="6" t="s">
        <v>145</v>
      </c>
      <c r="E31" s="44">
        <v>30</v>
      </c>
      <c r="F31" s="9">
        <f t="shared" si="0"/>
        <v>1.68</v>
      </c>
      <c r="G31" s="8" t="s">
        <v>147</v>
      </c>
    </row>
    <row r="32" spans="1:7" ht="20.25">
      <c r="A32" s="6"/>
      <c r="B32" s="6">
        <v>56</v>
      </c>
      <c r="C32" s="6"/>
      <c r="D32" s="6" t="s">
        <v>146</v>
      </c>
      <c r="E32" s="44">
        <v>30</v>
      </c>
      <c r="F32" s="9">
        <f t="shared" si="0"/>
        <v>1.68</v>
      </c>
      <c r="G32" s="8"/>
    </row>
    <row r="33" spans="1:7" ht="20.25">
      <c r="A33" s="6"/>
      <c r="B33" s="6">
        <v>56</v>
      </c>
      <c r="C33" s="6" t="s">
        <v>141</v>
      </c>
      <c r="D33" s="6" t="s">
        <v>17</v>
      </c>
      <c r="E33" s="44">
        <v>2</v>
      </c>
      <c r="F33" s="9">
        <f t="shared" si="0"/>
        <v>0.112</v>
      </c>
      <c r="G33" s="8"/>
    </row>
    <row r="34" spans="1:7" ht="20.25">
      <c r="A34" s="6"/>
      <c r="B34" s="6">
        <v>56</v>
      </c>
      <c r="C34" s="6"/>
      <c r="D34" s="6" t="s">
        <v>41</v>
      </c>
      <c r="E34" s="44">
        <v>20</v>
      </c>
      <c r="F34" s="9">
        <f t="shared" si="0"/>
        <v>1.1200000000000001</v>
      </c>
      <c r="G34" s="8"/>
    </row>
    <row r="35" spans="1:7" ht="20.25">
      <c r="A35" s="6"/>
      <c r="B35" s="6">
        <v>56</v>
      </c>
      <c r="C35" s="6"/>
      <c r="D35" s="6" t="s">
        <v>58</v>
      </c>
      <c r="E35" s="44">
        <v>10</v>
      </c>
      <c r="F35" s="9">
        <f t="shared" si="0"/>
        <v>0.56000000000000005</v>
      </c>
      <c r="G35" s="8"/>
    </row>
    <row r="36" spans="1:7" ht="20.25">
      <c r="A36" s="6"/>
      <c r="B36" s="6">
        <v>56</v>
      </c>
      <c r="C36" s="6" t="s">
        <v>13</v>
      </c>
      <c r="D36" s="6" t="s">
        <v>13</v>
      </c>
      <c r="E36" s="44">
        <v>40</v>
      </c>
      <c r="F36" s="9">
        <f t="shared" si="0"/>
        <v>2.2400000000000002</v>
      </c>
      <c r="G36" s="8"/>
    </row>
  </sheetData>
  <autoFilter ref="A2:G2">
    <filterColumn colId="4"/>
  </autoFilter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topLeftCell="A12" workbookViewId="0">
      <selection activeCell="G7" sqref="G7"/>
    </sheetView>
  </sheetViews>
  <sheetFormatPr defaultRowHeight="16.5"/>
  <cols>
    <col min="1" max="1" width="6.25" customWidth="1"/>
    <col min="2" max="2" width="5.125" customWidth="1"/>
    <col min="3" max="3" width="17.875" customWidth="1"/>
    <col min="4" max="4" width="16.625" customWidth="1"/>
    <col min="5" max="5" width="7.625" customWidth="1"/>
    <col min="7" max="7" width="17.875" customWidth="1"/>
    <col min="8" max="8" width="0.25" customWidth="1"/>
    <col min="9" max="9" width="9" hidden="1" customWidth="1"/>
  </cols>
  <sheetData>
    <row r="1" spans="1:9" ht="21.75" customHeight="1">
      <c r="A1" s="57" t="s">
        <v>247</v>
      </c>
      <c r="B1" s="57"/>
      <c r="C1" s="57"/>
      <c r="D1" s="57"/>
      <c r="E1" s="57"/>
      <c r="F1" s="57"/>
      <c r="G1" s="57"/>
      <c r="H1" s="57"/>
      <c r="I1" s="57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246</v>
      </c>
      <c r="F2" s="1" t="s">
        <v>4</v>
      </c>
      <c r="G2" s="1" t="s">
        <v>5</v>
      </c>
    </row>
    <row r="3" spans="1:9" ht="20.25">
      <c r="A3" s="4">
        <v>42013</v>
      </c>
      <c r="B3" s="5">
        <v>56</v>
      </c>
      <c r="C3" s="5" t="s">
        <v>91</v>
      </c>
      <c r="D3" s="6" t="s">
        <v>92</v>
      </c>
      <c r="E3" s="44">
        <v>2</v>
      </c>
      <c r="F3" s="7">
        <f>(B3*E3)/1000</f>
        <v>0.112</v>
      </c>
      <c r="G3" s="8"/>
    </row>
    <row r="4" spans="1:9" ht="20.25">
      <c r="A4" s="6" t="s">
        <v>131</v>
      </c>
      <c r="B4" s="5">
        <v>56</v>
      </c>
      <c r="C4" s="6" t="s">
        <v>248</v>
      </c>
      <c r="D4" s="6" t="s">
        <v>249</v>
      </c>
      <c r="E4" s="44">
        <v>20</v>
      </c>
      <c r="F4" s="7">
        <f t="shared" ref="F4:F9" si="0">(B4*E4)/1000</f>
        <v>1.1200000000000001</v>
      </c>
      <c r="G4" s="8"/>
    </row>
    <row r="5" spans="1:9" ht="20.25">
      <c r="A5" s="6" t="s">
        <v>38</v>
      </c>
      <c r="B5" s="5">
        <v>56</v>
      </c>
      <c r="C5" s="6"/>
      <c r="D5" s="6" t="s">
        <v>9</v>
      </c>
      <c r="E5" s="44">
        <v>30</v>
      </c>
      <c r="F5" s="7">
        <f t="shared" si="0"/>
        <v>1.68</v>
      </c>
      <c r="G5" s="8" t="s">
        <v>37</v>
      </c>
    </row>
    <row r="6" spans="1:9" ht="20.25">
      <c r="A6" s="6"/>
      <c r="B6" s="5">
        <v>56</v>
      </c>
      <c r="C6" s="6" t="s">
        <v>250</v>
      </c>
      <c r="D6" s="6" t="s">
        <v>251</v>
      </c>
      <c r="E6" s="44">
        <v>150</v>
      </c>
      <c r="F6" s="7">
        <f t="shared" si="0"/>
        <v>8.4</v>
      </c>
      <c r="G6" s="8"/>
    </row>
    <row r="7" spans="1:9" ht="20.25">
      <c r="A7" s="6"/>
      <c r="B7" s="5">
        <v>56</v>
      </c>
      <c r="C7" s="6"/>
      <c r="D7" s="6" t="s">
        <v>9</v>
      </c>
      <c r="E7" s="44">
        <v>50</v>
      </c>
      <c r="F7" s="7">
        <f t="shared" si="0"/>
        <v>2.8</v>
      </c>
      <c r="G7" s="8"/>
    </row>
    <row r="8" spans="1:9" ht="20.25">
      <c r="A8" s="6"/>
      <c r="B8" s="5">
        <v>56</v>
      </c>
      <c r="C8" s="6" t="s">
        <v>252</v>
      </c>
      <c r="D8" s="6" t="s">
        <v>253</v>
      </c>
      <c r="E8" s="44">
        <v>60</v>
      </c>
      <c r="F8" s="7">
        <f t="shared" si="0"/>
        <v>3.36</v>
      </c>
      <c r="G8" s="8"/>
    </row>
    <row r="9" spans="1:9" ht="20.25">
      <c r="A9" s="6"/>
      <c r="B9" s="5">
        <v>56</v>
      </c>
      <c r="C9" s="6"/>
      <c r="D9" s="6" t="s">
        <v>25</v>
      </c>
      <c r="E9" s="44">
        <v>10</v>
      </c>
      <c r="F9" s="7">
        <f t="shared" si="0"/>
        <v>0.56000000000000005</v>
      </c>
      <c r="G9" s="8"/>
    </row>
    <row r="10" spans="1:9" ht="20.25">
      <c r="A10" s="6"/>
      <c r="B10" s="5">
        <v>56</v>
      </c>
      <c r="C10" s="6" t="s">
        <v>134</v>
      </c>
      <c r="D10" s="6" t="s">
        <v>134</v>
      </c>
      <c r="E10" s="44"/>
      <c r="F10" s="9">
        <v>4</v>
      </c>
      <c r="G10" s="42"/>
    </row>
    <row r="11" spans="1:9" ht="20.25">
      <c r="A11" s="10"/>
      <c r="B11" s="10"/>
      <c r="C11" s="10"/>
      <c r="D11" s="10"/>
      <c r="E11" s="45"/>
      <c r="F11" s="56"/>
      <c r="G11" s="12"/>
    </row>
    <row r="12" spans="1:9" ht="20.25">
      <c r="A12" s="13">
        <v>42014</v>
      </c>
      <c r="B12" s="6">
        <v>55</v>
      </c>
      <c r="C12" s="6" t="s">
        <v>149</v>
      </c>
      <c r="D12" s="6" t="s">
        <v>12</v>
      </c>
      <c r="E12" s="44">
        <v>30</v>
      </c>
      <c r="F12" s="9">
        <v>4</v>
      </c>
      <c r="G12" s="8"/>
    </row>
    <row r="13" spans="1:9" ht="20.25">
      <c r="A13" s="6" t="s">
        <v>148</v>
      </c>
      <c r="B13" s="6">
        <v>55</v>
      </c>
      <c r="C13" s="6"/>
      <c r="D13" s="6" t="s">
        <v>122</v>
      </c>
      <c r="E13" s="44">
        <v>10</v>
      </c>
      <c r="F13" s="9">
        <f>(B13*E13)/1000</f>
        <v>0.55000000000000004</v>
      </c>
      <c r="G13" s="8"/>
    </row>
    <row r="14" spans="1:9" ht="20.25">
      <c r="A14" s="6" t="s">
        <v>10</v>
      </c>
      <c r="B14" s="6">
        <v>55</v>
      </c>
      <c r="C14" s="6" t="s">
        <v>254</v>
      </c>
      <c r="D14" s="6" t="s">
        <v>255</v>
      </c>
      <c r="E14" s="44">
        <v>100</v>
      </c>
      <c r="F14" s="9">
        <f>(B14*E14)/1000</f>
        <v>5.5</v>
      </c>
      <c r="G14" s="8"/>
    </row>
    <row r="15" spans="1:9" ht="20.25">
      <c r="A15" s="6"/>
      <c r="B15" s="6">
        <v>55</v>
      </c>
      <c r="C15" s="6"/>
      <c r="D15" s="6" t="s">
        <v>12</v>
      </c>
      <c r="E15" s="44">
        <v>30</v>
      </c>
      <c r="F15" s="9" t="s">
        <v>262</v>
      </c>
      <c r="G15" s="8"/>
    </row>
    <row r="16" spans="1:9" ht="20.25">
      <c r="A16" s="6"/>
      <c r="B16" s="6">
        <v>55</v>
      </c>
      <c r="C16" s="6" t="s">
        <v>256</v>
      </c>
      <c r="D16" s="6" t="s">
        <v>257</v>
      </c>
      <c r="E16" s="44">
        <v>40</v>
      </c>
      <c r="F16" s="9">
        <f t="shared" ref="F16:F34" si="1">(B16*E16)/1000</f>
        <v>2.2000000000000002</v>
      </c>
      <c r="G16" s="8"/>
    </row>
    <row r="17" spans="1:7" ht="20.25">
      <c r="A17" s="6"/>
      <c r="B17" s="6">
        <v>55</v>
      </c>
      <c r="C17" s="6"/>
      <c r="D17" s="6" t="s">
        <v>258</v>
      </c>
      <c r="E17" s="44">
        <v>10</v>
      </c>
      <c r="F17" s="9">
        <f t="shared" si="1"/>
        <v>0.55000000000000004</v>
      </c>
      <c r="G17" s="8"/>
    </row>
    <row r="18" spans="1:7" ht="20.25">
      <c r="A18" s="6"/>
      <c r="B18" s="6">
        <v>55</v>
      </c>
      <c r="C18" s="6"/>
      <c r="D18" s="6" t="s">
        <v>259</v>
      </c>
      <c r="E18" s="44">
        <v>10</v>
      </c>
      <c r="F18" s="9">
        <f t="shared" si="1"/>
        <v>0.55000000000000004</v>
      </c>
      <c r="G18" s="8"/>
    </row>
    <row r="19" spans="1:7" ht="20.25">
      <c r="A19" s="6"/>
      <c r="B19" s="6">
        <v>55</v>
      </c>
      <c r="C19" s="6"/>
      <c r="D19" s="6" t="s">
        <v>260</v>
      </c>
      <c r="E19" s="44">
        <v>5</v>
      </c>
      <c r="F19" s="9">
        <f t="shared" si="1"/>
        <v>0.27500000000000002</v>
      </c>
      <c r="G19" s="8"/>
    </row>
    <row r="20" spans="1:7" ht="20.25">
      <c r="A20" s="6"/>
      <c r="B20" s="6">
        <v>55</v>
      </c>
      <c r="C20" s="6"/>
      <c r="D20" s="6" t="s">
        <v>261</v>
      </c>
      <c r="E20" s="44">
        <v>2</v>
      </c>
      <c r="F20" s="9">
        <f t="shared" si="1"/>
        <v>0.11</v>
      </c>
      <c r="G20" s="8"/>
    </row>
    <row r="21" spans="1:7" ht="20.25">
      <c r="A21" s="6"/>
      <c r="B21" s="6">
        <v>55</v>
      </c>
      <c r="C21" s="6" t="s">
        <v>13</v>
      </c>
      <c r="D21" s="6" t="s">
        <v>13</v>
      </c>
      <c r="E21" s="44">
        <v>40</v>
      </c>
      <c r="F21" s="9">
        <f t="shared" si="1"/>
        <v>2.2000000000000002</v>
      </c>
      <c r="G21" s="14"/>
    </row>
    <row r="22" spans="1:7" ht="20.25">
      <c r="A22" s="10"/>
      <c r="B22" s="10"/>
      <c r="C22" s="10"/>
      <c r="D22" s="10"/>
      <c r="E22" s="45"/>
      <c r="F22" s="56"/>
      <c r="G22" s="12"/>
    </row>
    <row r="23" spans="1:7" ht="20.25">
      <c r="A23" s="13">
        <v>42014</v>
      </c>
      <c r="B23" s="6">
        <v>55</v>
      </c>
      <c r="C23" s="6" t="s">
        <v>150</v>
      </c>
      <c r="D23" s="6" t="s">
        <v>114</v>
      </c>
      <c r="E23" s="44">
        <v>2</v>
      </c>
      <c r="F23" s="9">
        <f t="shared" si="1"/>
        <v>0.11</v>
      </c>
      <c r="G23" s="8"/>
    </row>
    <row r="24" spans="1:7" ht="20.25">
      <c r="A24" s="6" t="s">
        <v>148</v>
      </c>
      <c r="B24" s="6">
        <v>55</v>
      </c>
      <c r="C24" s="6" t="s">
        <v>151</v>
      </c>
      <c r="D24" s="6" t="s">
        <v>154</v>
      </c>
      <c r="E24" s="44">
        <v>5</v>
      </c>
      <c r="F24" s="9">
        <f t="shared" si="1"/>
        <v>0.27500000000000002</v>
      </c>
      <c r="G24" s="8"/>
    </row>
    <row r="25" spans="1:7" ht="20.25">
      <c r="A25" s="39" t="s">
        <v>263</v>
      </c>
      <c r="B25" s="6">
        <v>55</v>
      </c>
      <c r="C25" s="39"/>
      <c r="D25" s="39" t="s">
        <v>155</v>
      </c>
      <c r="E25" s="55">
        <v>20</v>
      </c>
      <c r="F25" s="40">
        <f t="shared" si="1"/>
        <v>1.1000000000000001</v>
      </c>
      <c r="G25" s="41"/>
    </row>
    <row r="26" spans="1:7" ht="20.25">
      <c r="A26" s="6"/>
      <c r="B26" s="6">
        <v>55</v>
      </c>
      <c r="C26" s="6"/>
      <c r="D26" s="6" t="s">
        <v>156</v>
      </c>
      <c r="E26" s="44">
        <v>20</v>
      </c>
      <c r="F26" s="9">
        <f t="shared" si="1"/>
        <v>1.1000000000000001</v>
      </c>
      <c r="G26" s="8"/>
    </row>
    <row r="27" spans="1:7" ht="20.25">
      <c r="A27" s="6"/>
      <c r="B27" s="6">
        <v>55</v>
      </c>
      <c r="C27" s="6" t="s">
        <v>152</v>
      </c>
      <c r="D27" s="6" t="s">
        <v>157</v>
      </c>
      <c r="E27" s="44">
        <v>100</v>
      </c>
      <c r="F27" s="9">
        <f t="shared" si="1"/>
        <v>5.5</v>
      </c>
      <c r="G27" s="8"/>
    </row>
    <row r="28" spans="1:7" ht="20.25">
      <c r="A28" s="6"/>
      <c r="B28" s="6">
        <v>55</v>
      </c>
      <c r="C28" s="6"/>
      <c r="D28" s="6" t="s">
        <v>158</v>
      </c>
      <c r="E28" s="44">
        <v>50</v>
      </c>
      <c r="F28" s="9">
        <f t="shared" si="1"/>
        <v>2.75</v>
      </c>
      <c r="G28" s="8"/>
    </row>
    <row r="29" spans="1:7" ht="20.25">
      <c r="A29" s="6"/>
      <c r="B29" s="6">
        <v>55</v>
      </c>
      <c r="C29" s="6"/>
      <c r="D29" s="6" t="s">
        <v>159</v>
      </c>
      <c r="E29" s="44">
        <v>30</v>
      </c>
      <c r="F29" s="9">
        <f t="shared" si="1"/>
        <v>1.65</v>
      </c>
      <c r="G29" s="8"/>
    </row>
    <row r="30" spans="1:7" ht="20.25">
      <c r="A30" s="6"/>
      <c r="B30" s="6">
        <v>55</v>
      </c>
      <c r="C30" s="6"/>
      <c r="D30" s="6" t="s">
        <v>32</v>
      </c>
      <c r="E30" s="44">
        <v>5</v>
      </c>
      <c r="F30" s="9">
        <f t="shared" si="1"/>
        <v>0.27500000000000002</v>
      </c>
      <c r="G30" s="8"/>
    </row>
    <row r="31" spans="1:7" ht="20.25">
      <c r="A31" s="6"/>
      <c r="B31" s="6">
        <v>55</v>
      </c>
      <c r="C31" s="6" t="s">
        <v>153</v>
      </c>
      <c r="D31" s="6" t="s">
        <v>160</v>
      </c>
      <c r="E31" s="44">
        <v>50</v>
      </c>
      <c r="F31" s="9">
        <f t="shared" si="1"/>
        <v>2.75</v>
      </c>
      <c r="G31" s="8"/>
    </row>
    <row r="32" spans="1:7" ht="20.25">
      <c r="A32" s="6"/>
      <c r="B32" s="6">
        <v>55</v>
      </c>
      <c r="C32" s="6"/>
      <c r="D32" s="6" t="s">
        <v>25</v>
      </c>
      <c r="E32" s="44">
        <v>10</v>
      </c>
      <c r="F32" s="9">
        <f t="shared" si="1"/>
        <v>0.55000000000000004</v>
      </c>
      <c r="G32" s="8"/>
    </row>
    <row r="33" spans="1:7" ht="20.25">
      <c r="A33" s="6"/>
      <c r="B33" s="6">
        <v>55</v>
      </c>
      <c r="C33" s="6"/>
      <c r="D33" s="43" t="s">
        <v>161</v>
      </c>
      <c r="E33" s="44">
        <v>5</v>
      </c>
      <c r="F33" s="9">
        <f t="shared" si="1"/>
        <v>0.27500000000000002</v>
      </c>
      <c r="G33" s="8" t="s">
        <v>142</v>
      </c>
    </row>
    <row r="34" spans="1:7" ht="20.25">
      <c r="A34" s="6"/>
      <c r="B34" s="6">
        <v>55</v>
      </c>
      <c r="C34" s="6" t="s">
        <v>134</v>
      </c>
      <c r="D34" s="6" t="s">
        <v>134</v>
      </c>
      <c r="E34" s="44">
        <v>40</v>
      </c>
      <c r="F34" s="9">
        <f t="shared" si="1"/>
        <v>2.2000000000000002</v>
      </c>
      <c r="G34" s="8"/>
    </row>
  </sheetData>
  <autoFilter ref="A2:G2">
    <filterColumn colId="4"/>
  </autoFilter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6"/>
  <sheetViews>
    <sheetView topLeftCell="A15" workbookViewId="0">
      <selection activeCell="F18" sqref="F18:F19"/>
    </sheetView>
  </sheetViews>
  <sheetFormatPr defaultRowHeight="16.5"/>
  <cols>
    <col min="1" max="1" width="6.25" customWidth="1"/>
    <col min="2" max="2" width="5.125" customWidth="1"/>
    <col min="3" max="3" width="17.875" customWidth="1"/>
    <col min="4" max="4" width="16.625" customWidth="1"/>
    <col min="5" max="5" width="7.625" customWidth="1"/>
    <col min="7" max="7" width="17.875" customWidth="1"/>
    <col min="8" max="8" width="0.25" customWidth="1"/>
    <col min="9" max="9" width="9" hidden="1" customWidth="1"/>
  </cols>
  <sheetData>
    <row r="1" spans="1:9" ht="21.75" customHeight="1">
      <c r="A1" s="57" t="s">
        <v>264</v>
      </c>
      <c r="B1" s="57"/>
      <c r="C1" s="57"/>
      <c r="D1" s="57"/>
      <c r="E1" s="57"/>
      <c r="F1" s="57"/>
      <c r="G1" s="57"/>
      <c r="H1" s="57"/>
      <c r="I1" s="57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200</v>
      </c>
      <c r="F2" s="1" t="s">
        <v>4</v>
      </c>
      <c r="G2" s="1" t="s">
        <v>5</v>
      </c>
    </row>
    <row r="3" spans="1:9" ht="20.25">
      <c r="A3" s="4">
        <v>42014</v>
      </c>
      <c r="B3" s="5">
        <v>55</v>
      </c>
      <c r="C3" s="5" t="s">
        <v>265</v>
      </c>
      <c r="D3" s="6" t="s">
        <v>266</v>
      </c>
      <c r="E3" s="44">
        <v>2</v>
      </c>
      <c r="F3" s="9">
        <f>(B3*E3)/1000</f>
        <v>0.11</v>
      </c>
      <c r="G3" s="8"/>
    </row>
    <row r="4" spans="1:9" ht="20.25">
      <c r="A4" s="6" t="s">
        <v>148</v>
      </c>
      <c r="B4" s="5">
        <v>55</v>
      </c>
      <c r="C4" s="6" t="s">
        <v>267</v>
      </c>
      <c r="D4" s="6" t="s">
        <v>62</v>
      </c>
      <c r="E4" s="44">
        <v>40</v>
      </c>
      <c r="F4" s="9">
        <f>(B4*E4)/1000</f>
        <v>2.2000000000000002</v>
      </c>
      <c r="G4" s="8"/>
    </row>
    <row r="5" spans="1:9" ht="20.25">
      <c r="A5" s="6" t="s">
        <v>38</v>
      </c>
      <c r="B5" s="5">
        <v>55</v>
      </c>
      <c r="C5" s="6"/>
      <c r="D5" s="6" t="s">
        <v>64</v>
      </c>
      <c r="E5" s="44">
        <v>35</v>
      </c>
      <c r="F5" s="9">
        <f>(B5*E5)/1000</f>
        <v>1.925</v>
      </c>
      <c r="G5" s="8"/>
    </row>
    <row r="6" spans="1:9" ht="20.25">
      <c r="A6" s="6"/>
      <c r="B6" s="5">
        <v>55</v>
      </c>
      <c r="C6" s="6"/>
      <c r="D6" s="6" t="s">
        <v>41</v>
      </c>
      <c r="E6" s="44">
        <v>25</v>
      </c>
      <c r="F6" s="9">
        <f>(B6*E6)/1000</f>
        <v>1.375</v>
      </c>
      <c r="G6" s="8" t="s">
        <v>268</v>
      </c>
    </row>
    <row r="7" spans="1:9" ht="20.25">
      <c r="A7" s="6"/>
      <c r="B7" s="5">
        <v>55</v>
      </c>
      <c r="C7" s="6" t="s">
        <v>269</v>
      </c>
      <c r="D7" s="6" t="s">
        <v>270</v>
      </c>
      <c r="E7" s="44">
        <v>100</v>
      </c>
      <c r="F7" s="9">
        <f>(B7*E7)/1000</f>
        <v>5.5</v>
      </c>
      <c r="G7" s="8" t="s">
        <v>271</v>
      </c>
    </row>
    <row r="8" spans="1:9" ht="20.25">
      <c r="A8" s="6"/>
      <c r="B8" s="5">
        <v>55</v>
      </c>
      <c r="C8" s="6"/>
      <c r="D8" s="6" t="s">
        <v>272</v>
      </c>
      <c r="E8" s="44">
        <v>30</v>
      </c>
      <c r="F8" s="9">
        <f>(B8*E8)/1000</f>
        <v>1.65</v>
      </c>
      <c r="G8" s="42"/>
    </row>
    <row r="9" spans="1:9" ht="20.25">
      <c r="A9" s="6"/>
      <c r="B9" s="5">
        <v>55</v>
      </c>
      <c r="C9" s="6" t="s">
        <v>273</v>
      </c>
      <c r="D9" s="6" t="s">
        <v>274</v>
      </c>
      <c r="E9" s="44">
        <v>60</v>
      </c>
      <c r="F9" s="9">
        <f>(B9*E9)/1000</f>
        <v>3.3</v>
      </c>
      <c r="G9" s="8"/>
    </row>
    <row r="10" spans="1:9" ht="20.25">
      <c r="A10" s="6"/>
      <c r="B10" s="5">
        <v>55</v>
      </c>
      <c r="C10" s="15"/>
      <c r="D10" s="6" t="s">
        <v>25</v>
      </c>
      <c r="E10" s="44">
        <v>10</v>
      </c>
      <c r="F10" s="9">
        <f>(B10*E10)/1000</f>
        <v>0.55000000000000004</v>
      </c>
      <c r="G10" s="42"/>
    </row>
    <row r="11" spans="1:9" ht="20.25">
      <c r="A11" s="6"/>
      <c r="B11" s="5">
        <v>55</v>
      </c>
      <c r="C11" s="6" t="s">
        <v>134</v>
      </c>
      <c r="D11" s="6" t="s">
        <v>134</v>
      </c>
      <c r="E11" s="44">
        <v>40</v>
      </c>
      <c r="F11" s="9">
        <f>(B11*E11)/1000</f>
        <v>2.2000000000000002</v>
      </c>
      <c r="G11" s="42"/>
    </row>
    <row r="12" spans="1:9" ht="20.25">
      <c r="A12" s="10"/>
      <c r="B12" s="10"/>
      <c r="C12" s="10"/>
      <c r="D12" s="10"/>
      <c r="E12" s="45"/>
      <c r="F12" s="11"/>
      <c r="G12" s="12"/>
    </row>
    <row r="13" spans="1:9" ht="20.25">
      <c r="A13" s="13">
        <v>42015</v>
      </c>
      <c r="B13" s="6">
        <v>55</v>
      </c>
      <c r="C13" s="6" t="s">
        <v>165</v>
      </c>
      <c r="D13" s="6" t="s">
        <v>168</v>
      </c>
      <c r="E13" s="44">
        <v>100</v>
      </c>
      <c r="F13" s="9" t="s">
        <v>275</v>
      </c>
      <c r="G13" s="8"/>
    </row>
    <row r="14" spans="1:9" ht="20.25">
      <c r="A14" s="6" t="s">
        <v>164</v>
      </c>
      <c r="B14" s="6">
        <v>55</v>
      </c>
      <c r="C14" s="6" t="s">
        <v>166</v>
      </c>
      <c r="D14" s="6" t="s">
        <v>169</v>
      </c>
      <c r="E14" s="44">
        <v>100</v>
      </c>
      <c r="F14" s="9" t="s">
        <v>18</v>
      </c>
      <c r="G14" s="8" t="s">
        <v>271</v>
      </c>
    </row>
    <row r="15" spans="1:9" ht="20.25">
      <c r="A15" s="6" t="s">
        <v>10</v>
      </c>
      <c r="B15" s="6">
        <v>55</v>
      </c>
      <c r="C15" s="6" t="s">
        <v>276</v>
      </c>
      <c r="D15" s="6" t="s">
        <v>74</v>
      </c>
      <c r="E15" s="44">
        <v>200</v>
      </c>
      <c r="F15" s="9" t="s">
        <v>275</v>
      </c>
      <c r="G15" s="8"/>
    </row>
    <row r="16" spans="1:9" ht="20.25">
      <c r="A16" s="6"/>
      <c r="B16" s="6">
        <v>55</v>
      </c>
      <c r="C16" s="6" t="s">
        <v>167</v>
      </c>
      <c r="D16" s="6" t="s">
        <v>170</v>
      </c>
      <c r="E16" s="44">
        <v>30</v>
      </c>
      <c r="F16" s="9">
        <f>(B16*E16)/1000</f>
        <v>1.65</v>
      </c>
      <c r="G16" s="8"/>
    </row>
    <row r="17" spans="1:7" ht="20.25">
      <c r="A17" s="6"/>
      <c r="B17" s="6">
        <v>55</v>
      </c>
      <c r="C17" s="6"/>
      <c r="D17" s="6" t="s">
        <v>28</v>
      </c>
      <c r="E17" s="44">
        <v>30</v>
      </c>
      <c r="F17" s="9">
        <f t="shared" ref="F17:F36" si="0">(B17*E17)/1000</f>
        <v>1.65</v>
      </c>
      <c r="G17" s="8"/>
    </row>
    <row r="18" spans="1:7" ht="20.25">
      <c r="A18" s="6"/>
      <c r="B18" s="6">
        <v>55</v>
      </c>
      <c r="C18" s="6"/>
      <c r="D18" s="6" t="s">
        <v>171</v>
      </c>
      <c r="E18" s="44">
        <v>20</v>
      </c>
      <c r="F18" s="9">
        <f t="shared" si="0"/>
        <v>1.1000000000000001</v>
      </c>
      <c r="G18" s="14"/>
    </row>
    <row r="19" spans="1:7" ht="20.25">
      <c r="A19" s="6"/>
      <c r="B19" s="6">
        <v>55</v>
      </c>
      <c r="C19" s="6"/>
      <c r="D19" s="6" t="s">
        <v>282</v>
      </c>
      <c r="E19" s="44">
        <v>10</v>
      </c>
      <c r="F19" s="9">
        <f t="shared" si="0"/>
        <v>0.55000000000000004</v>
      </c>
      <c r="G19" s="14"/>
    </row>
    <row r="20" spans="1:7" ht="20.25">
      <c r="A20" s="6"/>
      <c r="B20" s="6">
        <v>55</v>
      </c>
      <c r="C20" s="6"/>
      <c r="D20" s="6" t="s">
        <v>277</v>
      </c>
      <c r="E20" s="44">
        <v>5</v>
      </c>
      <c r="F20" s="9">
        <f t="shared" si="0"/>
        <v>0.27500000000000002</v>
      </c>
      <c r="G20" s="14"/>
    </row>
    <row r="21" spans="1:7" ht="20.25">
      <c r="A21" s="6"/>
      <c r="B21" s="6">
        <v>55</v>
      </c>
      <c r="C21" s="6"/>
      <c r="D21" s="6" t="s">
        <v>281</v>
      </c>
      <c r="E21" s="44">
        <v>10</v>
      </c>
      <c r="F21" s="9">
        <f t="shared" si="0"/>
        <v>0.55000000000000004</v>
      </c>
      <c r="G21" s="14"/>
    </row>
    <row r="22" spans="1:7" ht="20.25">
      <c r="A22" s="6"/>
      <c r="B22" s="6">
        <v>55</v>
      </c>
      <c r="C22" s="6"/>
      <c r="D22" s="6" t="s">
        <v>172</v>
      </c>
      <c r="E22" s="44">
        <v>30</v>
      </c>
      <c r="F22" s="9">
        <f t="shared" si="0"/>
        <v>1.65</v>
      </c>
      <c r="G22" s="14"/>
    </row>
    <row r="23" spans="1:7" ht="20.25">
      <c r="A23" s="6"/>
      <c r="B23" s="6">
        <v>55</v>
      </c>
      <c r="C23" s="6" t="s">
        <v>55</v>
      </c>
      <c r="D23" s="6" t="s">
        <v>55</v>
      </c>
      <c r="E23" s="44">
        <v>100</v>
      </c>
      <c r="F23" s="9">
        <f t="shared" si="0"/>
        <v>5.5</v>
      </c>
      <c r="G23" s="14"/>
    </row>
    <row r="24" spans="1:7" ht="20.25">
      <c r="A24" s="10"/>
      <c r="B24" s="10"/>
      <c r="C24" s="10"/>
      <c r="D24" s="10"/>
      <c r="E24" s="45"/>
      <c r="F24" s="56"/>
      <c r="G24" s="12"/>
    </row>
    <row r="25" spans="1:7" ht="20.25">
      <c r="A25" s="13">
        <v>42015</v>
      </c>
      <c r="B25" s="6">
        <v>55</v>
      </c>
      <c r="C25" s="6" t="s">
        <v>125</v>
      </c>
      <c r="D25" s="6" t="s">
        <v>128</v>
      </c>
      <c r="E25" s="44">
        <v>2</v>
      </c>
      <c r="F25" s="9">
        <f t="shared" si="0"/>
        <v>0.11</v>
      </c>
      <c r="G25" s="8"/>
    </row>
    <row r="26" spans="1:7" ht="20.25">
      <c r="A26" s="6" t="s">
        <v>164</v>
      </c>
      <c r="B26" s="6">
        <v>55</v>
      </c>
      <c r="C26" s="6" t="s">
        <v>173</v>
      </c>
      <c r="D26" s="6" t="s">
        <v>176</v>
      </c>
      <c r="E26" s="44">
        <v>20</v>
      </c>
      <c r="F26" s="9">
        <f t="shared" si="0"/>
        <v>1.1000000000000001</v>
      </c>
      <c r="G26" s="8"/>
    </row>
    <row r="27" spans="1:7" ht="20.25">
      <c r="A27" s="6" t="s">
        <v>19</v>
      </c>
      <c r="B27" s="6">
        <v>55</v>
      </c>
      <c r="C27" s="6"/>
      <c r="D27" s="6" t="s">
        <v>57</v>
      </c>
      <c r="E27" s="44">
        <v>20</v>
      </c>
      <c r="F27" s="9">
        <f t="shared" si="0"/>
        <v>1.1000000000000001</v>
      </c>
      <c r="G27" s="8"/>
    </row>
    <row r="28" spans="1:7" ht="20.25">
      <c r="A28" s="39"/>
      <c r="B28" s="6">
        <v>55</v>
      </c>
      <c r="C28" s="39"/>
      <c r="D28" s="39" t="s">
        <v>177</v>
      </c>
      <c r="E28" s="55">
        <v>1</v>
      </c>
      <c r="F28" s="40">
        <f t="shared" si="0"/>
        <v>5.5E-2</v>
      </c>
      <c r="G28" s="8"/>
    </row>
    <row r="29" spans="1:7" ht="20.25">
      <c r="A29" s="6"/>
      <c r="B29" s="6">
        <v>55</v>
      </c>
      <c r="C29" s="6"/>
      <c r="D29" s="6" t="s">
        <v>25</v>
      </c>
      <c r="E29" s="44">
        <v>10</v>
      </c>
      <c r="F29" s="9">
        <f t="shared" si="0"/>
        <v>0.55000000000000004</v>
      </c>
      <c r="G29" s="8"/>
    </row>
    <row r="30" spans="1:7" ht="20.25">
      <c r="A30" s="6"/>
      <c r="B30" s="6">
        <v>55</v>
      </c>
      <c r="C30" s="6"/>
      <c r="D30" s="6" t="s">
        <v>279</v>
      </c>
      <c r="E30" s="44">
        <v>10</v>
      </c>
      <c r="F30" s="9">
        <f t="shared" si="0"/>
        <v>0.55000000000000004</v>
      </c>
      <c r="G30" s="8"/>
    </row>
    <row r="31" spans="1:7" ht="20.25">
      <c r="A31" s="6"/>
      <c r="B31" s="6">
        <v>55</v>
      </c>
      <c r="C31" s="6" t="s">
        <v>174</v>
      </c>
      <c r="D31" s="6" t="s">
        <v>178</v>
      </c>
      <c r="E31" s="44">
        <v>80</v>
      </c>
      <c r="F31" s="9">
        <f t="shared" si="0"/>
        <v>4.4000000000000004</v>
      </c>
      <c r="G31" s="8"/>
    </row>
    <row r="32" spans="1:7" ht="20.25">
      <c r="A32" s="6"/>
      <c r="B32" s="6">
        <v>55</v>
      </c>
      <c r="C32" s="6"/>
      <c r="D32" s="6" t="s">
        <v>179</v>
      </c>
      <c r="E32" s="44">
        <v>20</v>
      </c>
      <c r="F32" s="9">
        <f t="shared" si="0"/>
        <v>1.1000000000000001</v>
      </c>
      <c r="G32" s="8"/>
    </row>
    <row r="33" spans="1:7" ht="20.25">
      <c r="A33" s="6"/>
      <c r="B33" s="6">
        <v>55</v>
      </c>
      <c r="C33" s="6"/>
      <c r="D33" s="6" t="s">
        <v>279</v>
      </c>
      <c r="E33" s="44">
        <v>10</v>
      </c>
      <c r="F33" s="9">
        <f t="shared" si="0"/>
        <v>0.55000000000000004</v>
      </c>
      <c r="G33" s="8"/>
    </row>
    <row r="34" spans="1:7" ht="20.25">
      <c r="A34" s="6"/>
      <c r="B34" s="6">
        <v>55</v>
      </c>
      <c r="C34" s="6"/>
      <c r="D34" s="6" t="s">
        <v>280</v>
      </c>
      <c r="E34" s="44">
        <v>10</v>
      </c>
      <c r="F34" s="9">
        <f t="shared" si="0"/>
        <v>0.55000000000000004</v>
      </c>
      <c r="G34" s="8"/>
    </row>
    <row r="35" spans="1:7" ht="20.25">
      <c r="A35" s="6"/>
      <c r="B35" s="6">
        <v>55</v>
      </c>
      <c r="C35" s="6" t="s">
        <v>278</v>
      </c>
      <c r="D35" s="6" t="s">
        <v>87</v>
      </c>
      <c r="E35" s="44">
        <v>60</v>
      </c>
      <c r="F35" s="9">
        <f t="shared" si="0"/>
        <v>3.3</v>
      </c>
      <c r="G35" s="8" t="s">
        <v>147</v>
      </c>
    </row>
    <row r="36" spans="1:7" ht="20.25">
      <c r="A36" s="6"/>
      <c r="B36" s="6">
        <v>55</v>
      </c>
      <c r="C36" s="6" t="s">
        <v>175</v>
      </c>
      <c r="D36" s="6" t="s">
        <v>13</v>
      </c>
      <c r="E36" s="44">
        <v>40</v>
      </c>
      <c r="F36" s="9">
        <f t="shared" si="0"/>
        <v>2.2000000000000002</v>
      </c>
      <c r="G36" s="8"/>
    </row>
  </sheetData>
  <autoFilter ref="A2:G2">
    <filterColumn colId="4"/>
  </autoFilter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>
      <selection activeCell="G17" sqref="G17"/>
    </sheetView>
  </sheetViews>
  <sheetFormatPr defaultRowHeight="16.5"/>
  <cols>
    <col min="1" max="1" width="5.875" customWidth="1"/>
    <col min="2" max="2" width="5.125" customWidth="1"/>
    <col min="3" max="3" width="17.875" customWidth="1"/>
    <col min="4" max="4" width="17.125" customWidth="1"/>
    <col min="5" max="5" width="7.75" customWidth="1"/>
    <col min="7" max="7" width="17.875" customWidth="1"/>
    <col min="8" max="8" width="0.25" customWidth="1"/>
    <col min="9" max="9" width="9" hidden="1" customWidth="1"/>
  </cols>
  <sheetData>
    <row r="1" spans="1:9" ht="21.75" customHeight="1">
      <c r="A1" s="57" t="s">
        <v>283</v>
      </c>
      <c r="B1" s="57"/>
      <c r="C1" s="57"/>
      <c r="D1" s="57"/>
      <c r="E1" s="57"/>
      <c r="F1" s="57"/>
      <c r="G1" s="57"/>
      <c r="H1" s="57"/>
      <c r="I1" s="57"/>
    </row>
    <row r="2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284</v>
      </c>
      <c r="F2" s="1" t="s">
        <v>4</v>
      </c>
      <c r="G2" s="1" t="s">
        <v>5</v>
      </c>
    </row>
    <row r="3" spans="1:9" ht="20.25">
      <c r="A3" s="4">
        <v>42014</v>
      </c>
      <c r="B3" s="5">
        <v>55</v>
      </c>
      <c r="C3" s="5" t="s">
        <v>180</v>
      </c>
      <c r="D3" s="6" t="s">
        <v>183</v>
      </c>
      <c r="E3" s="59">
        <v>100</v>
      </c>
      <c r="F3" s="9">
        <f>(B3*E3)/1000</f>
        <v>5.5</v>
      </c>
      <c r="G3" s="8"/>
    </row>
    <row r="4" spans="1:9" ht="20.25">
      <c r="A4" s="6" t="s">
        <v>164</v>
      </c>
      <c r="B4" s="5">
        <v>55</v>
      </c>
      <c r="C4" s="6"/>
      <c r="D4" s="6" t="s">
        <v>95</v>
      </c>
      <c r="E4" s="44">
        <v>40</v>
      </c>
      <c r="F4" s="9">
        <f t="shared" ref="F4:F17" si="0">(B4*E4)/1000</f>
        <v>2.2000000000000002</v>
      </c>
      <c r="G4" s="8"/>
    </row>
    <row r="5" spans="1:9" ht="20.25">
      <c r="A5" s="6" t="s">
        <v>38</v>
      </c>
      <c r="B5" s="5">
        <v>55</v>
      </c>
      <c r="C5" s="6"/>
      <c r="D5" s="6" t="s">
        <v>84</v>
      </c>
      <c r="E5" s="44">
        <v>10</v>
      </c>
      <c r="F5" s="9">
        <f t="shared" si="0"/>
        <v>0.55000000000000004</v>
      </c>
      <c r="G5" s="8"/>
    </row>
    <row r="6" spans="1:9" ht="20.25">
      <c r="A6" s="6"/>
      <c r="B6" s="5">
        <v>55</v>
      </c>
      <c r="C6" s="6"/>
      <c r="D6" s="6" t="s">
        <v>25</v>
      </c>
      <c r="E6" s="44">
        <v>20</v>
      </c>
      <c r="F6" s="9">
        <f t="shared" si="0"/>
        <v>1.1000000000000001</v>
      </c>
      <c r="G6" s="8"/>
    </row>
    <row r="7" spans="1:9" ht="20.25">
      <c r="A7" s="6"/>
      <c r="B7" s="5">
        <v>55</v>
      </c>
      <c r="C7" s="6"/>
      <c r="D7" s="6" t="s">
        <v>24</v>
      </c>
      <c r="E7" s="44">
        <v>10</v>
      </c>
      <c r="F7" s="9">
        <f t="shared" si="0"/>
        <v>0.55000000000000004</v>
      </c>
      <c r="G7" s="8"/>
    </row>
    <row r="8" spans="1:9" ht="20.25">
      <c r="A8" s="6"/>
      <c r="B8" s="5">
        <v>55</v>
      </c>
      <c r="C8" s="6"/>
      <c r="D8" s="6" t="s">
        <v>184</v>
      </c>
      <c r="E8" s="44">
        <v>3</v>
      </c>
      <c r="F8" s="9">
        <f t="shared" si="0"/>
        <v>0.16500000000000001</v>
      </c>
      <c r="G8" s="42"/>
    </row>
    <row r="9" spans="1:9" ht="20.25">
      <c r="A9" s="6"/>
      <c r="B9" s="5">
        <v>55</v>
      </c>
      <c r="C9" s="6" t="s">
        <v>181</v>
      </c>
      <c r="D9" s="6" t="s">
        <v>285</v>
      </c>
      <c r="E9" s="44">
        <v>20</v>
      </c>
      <c r="F9" s="9">
        <f t="shared" si="0"/>
        <v>1.1000000000000001</v>
      </c>
      <c r="G9" s="8"/>
    </row>
    <row r="10" spans="1:9" ht="20.25">
      <c r="A10" s="6"/>
      <c r="B10" s="5">
        <v>55</v>
      </c>
      <c r="C10" s="15"/>
      <c r="D10" s="6" t="s">
        <v>42</v>
      </c>
      <c r="E10" s="44">
        <v>30</v>
      </c>
      <c r="F10" s="9">
        <f t="shared" si="0"/>
        <v>1.65</v>
      </c>
      <c r="G10" s="42"/>
    </row>
    <row r="11" spans="1:9" ht="20.25">
      <c r="A11" s="6"/>
      <c r="B11" s="5">
        <v>55</v>
      </c>
      <c r="C11" s="6"/>
      <c r="D11" s="6" t="s">
        <v>104</v>
      </c>
      <c r="E11" s="44">
        <v>10</v>
      </c>
      <c r="F11" s="9">
        <f t="shared" si="0"/>
        <v>0.55000000000000004</v>
      </c>
      <c r="G11" s="42"/>
    </row>
    <row r="12" spans="1:9" ht="20.25">
      <c r="A12" s="6"/>
      <c r="B12" s="5">
        <v>55</v>
      </c>
      <c r="C12" s="6"/>
      <c r="D12" s="6" t="s">
        <v>25</v>
      </c>
      <c r="E12" s="44">
        <v>10</v>
      </c>
      <c r="F12" s="9">
        <f t="shared" si="0"/>
        <v>0.55000000000000004</v>
      </c>
      <c r="G12" s="42"/>
    </row>
    <row r="13" spans="1:9" ht="20.25">
      <c r="A13" s="6"/>
      <c r="B13" s="5">
        <v>55</v>
      </c>
      <c r="C13" s="6"/>
      <c r="D13" s="6" t="s">
        <v>11</v>
      </c>
      <c r="E13" s="44">
        <v>2</v>
      </c>
      <c r="F13" s="9">
        <f t="shared" si="0"/>
        <v>0.11</v>
      </c>
      <c r="G13" s="42"/>
    </row>
    <row r="14" spans="1:9" ht="20.25">
      <c r="A14" s="6"/>
      <c r="B14" s="5">
        <v>55</v>
      </c>
      <c r="C14" s="6" t="s">
        <v>182</v>
      </c>
      <c r="D14" s="6" t="s">
        <v>185</v>
      </c>
      <c r="E14" s="58">
        <v>30</v>
      </c>
      <c r="F14" s="9">
        <f t="shared" si="0"/>
        <v>1.65</v>
      </c>
      <c r="G14" s="8" t="s">
        <v>188</v>
      </c>
    </row>
    <row r="15" spans="1:9" ht="20.25">
      <c r="A15" s="6"/>
      <c r="B15" s="5">
        <v>55</v>
      </c>
      <c r="C15" s="6"/>
      <c r="D15" s="6" t="s">
        <v>186</v>
      </c>
      <c r="E15" s="58">
        <v>30</v>
      </c>
      <c r="F15" s="9">
        <f t="shared" si="0"/>
        <v>1.65</v>
      </c>
      <c r="G15" s="8" t="s">
        <v>189</v>
      </c>
    </row>
    <row r="16" spans="1:9" ht="20.25">
      <c r="A16" s="6"/>
      <c r="B16" s="5">
        <v>55</v>
      </c>
      <c r="C16" s="6"/>
      <c r="D16" s="6" t="s">
        <v>187</v>
      </c>
      <c r="E16" s="58">
        <v>30</v>
      </c>
      <c r="F16" s="9">
        <f t="shared" si="0"/>
        <v>1.65</v>
      </c>
      <c r="G16" s="8" t="s">
        <v>189</v>
      </c>
    </row>
    <row r="17" spans="1:7" ht="20.25">
      <c r="A17" s="6"/>
      <c r="B17" s="5">
        <v>55</v>
      </c>
      <c r="C17" s="6" t="s">
        <v>134</v>
      </c>
      <c r="D17" s="6" t="s">
        <v>134</v>
      </c>
      <c r="E17" s="58">
        <v>40</v>
      </c>
      <c r="F17" s="9">
        <f t="shared" si="0"/>
        <v>2.2000000000000002</v>
      </c>
      <c r="G17" s="42"/>
    </row>
    <row r="18" spans="1:7" ht="20.25">
      <c r="A18" s="6"/>
      <c r="B18" s="5">
        <v>55</v>
      </c>
      <c r="C18" s="6" t="s">
        <v>228</v>
      </c>
      <c r="D18" s="6" t="s">
        <v>228</v>
      </c>
      <c r="E18" s="58">
        <v>60</v>
      </c>
      <c r="F18" s="9" t="s">
        <v>229</v>
      </c>
      <c r="G18" s="42"/>
    </row>
    <row r="19" spans="1:7" ht="20.25">
      <c r="A19" s="10"/>
      <c r="B19" s="10"/>
      <c r="C19" s="10"/>
      <c r="D19" s="10"/>
      <c r="E19" s="10"/>
      <c r="F19" s="11"/>
      <c r="G19" s="12"/>
    </row>
    <row r="20" spans="1:7" ht="20.25">
      <c r="A20" s="13"/>
      <c r="B20" s="6"/>
      <c r="C20" s="6"/>
      <c r="D20" s="6"/>
      <c r="E20" s="6"/>
      <c r="F20" s="9"/>
      <c r="G20" s="8"/>
    </row>
    <row r="21" spans="1:7" ht="20.25">
      <c r="A21" s="6"/>
      <c r="B21" s="6"/>
      <c r="C21" s="6"/>
      <c r="D21" s="6"/>
      <c r="E21" s="6"/>
      <c r="F21" s="9"/>
      <c r="G21" s="8"/>
    </row>
    <row r="22" spans="1:7" ht="20.25">
      <c r="A22" s="6"/>
      <c r="B22" s="6"/>
      <c r="C22" s="16"/>
      <c r="D22" s="6"/>
      <c r="E22" s="6"/>
      <c r="F22" s="9"/>
      <c r="G22" s="8"/>
    </row>
    <row r="23" spans="1:7" ht="20.25">
      <c r="A23" s="6"/>
      <c r="B23" s="6"/>
      <c r="C23" s="6"/>
      <c r="D23" s="6"/>
      <c r="E23" s="6"/>
      <c r="F23" s="9"/>
      <c r="G23" s="8"/>
    </row>
    <row r="24" spans="1:7" ht="20.25">
      <c r="A24" s="6"/>
      <c r="B24" s="6"/>
      <c r="C24" s="6"/>
      <c r="D24" s="6"/>
      <c r="E24" s="6"/>
      <c r="F24" s="9"/>
      <c r="G24" s="8"/>
    </row>
    <row r="25" spans="1:7" ht="20.25">
      <c r="A25" s="6"/>
      <c r="B25" s="6"/>
      <c r="C25" s="6"/>
      <c r="D25" s="6"/>
      <c r="E25" s="6"/>
      <c r="F25" s="9"/>
      <c r="G25" s="14"/>
    </row>
    <row r="26" spans="1:7" ht="20.25">
      <c r="A26" s="6"/>
      <c r="B26" s="6"/>
      <c r="C26" s="6"/>
      <c r="D26" s="6"/>
      <c r="E26" s="6"/>
      <c r="F26" s="9"/>
      <c r="G26" s="14"/>
    </row>
    <row r="27" spans="1:7" ht="20.25">
      <c r="A27" s="6"/>
      <c r="B27" s="6"/>
      <c r="C27" s="6"/>
      <c r="D27" s="6"/>
      <c r="E27" s="6"/>
      <c r="F27" s="9"/>
      <c r="G27" s="14"/>
    </row>
    <row r="28" spans="1:7" ht="20.25">
      <c r="A28" s="6"/>
      <c r="B28" s="6"/>
      <c r="C28" s="6"/>
      <c r="D28" s="6"/>
      <c r="E28" s="6"/>
      <c r="F28" s="9"/>
      <c r="G28" s="14"/>
    </row>
    <row r="29" spans="1:7" ht="20.25">
      <c r="A29" s="10"/>
      <c r="B29" s="10"/>
      <c r="C29" s="10"/>
      <c r="D29" s="10"/>
      <c r="E29" s="10"/>
      <c r="F29" s="11"/>
      <c r="G29" s="12"/>
    </row>
    <row r="30" spans="1:7" ht="20.25">
      <c r="A30" s="13"/>
      <c r="B30" s="6"/>
      <c r="C30" s="6"/>
      <c r="D30" s="6"/>
      <c r="E30" s="6"/>
      <c r="F30" s="9"/>
      <c r="G30" s="8"/>
    </row>
    <row r="31" spans="1:7" ht="20.25">
      <c r="A31" s="6"/>
      <c r="B31" s="6"/>
      <c r="C31" s="6"/>
      <c r="D31" s="6"/>
      <c r="E31" s="6"/>
      <c r="F31" s="9"/>
      <c r="G31" s="8"/>
    </row>
    <row r="32" spans="1:7" ht="20.25">
      <c r="A32" s="6"/>
      <c r="B32" s="6"/>
      <c r="C32" s="6"/>
      <c r="D32" s="6"/>
      <c r="E32" s="6"/>
      <c r="F32" s="9"/>
      <c r="G32" s="8"/>
    </row>
    <row r="33" spans="1:7" ht="20.25">
      <c r="A33" s="39"/>
      <c r="B33" s="6"/>
      <c r="C33" s="39"/>
      <c r="D33" s="39"/>
      <c r="E33" s="39"/>
      <c r="F33" s="40"/>
      <c r="G33" s="8"/>
    </row>
    <row r="34" spans="1:7" ht="20.25">
      <c r="A34" s="6"/>
      <c r="B34" s="6"/>
      <c r="C34" s="6"/>
      <c r="D34" s="6"/>
      <c r="E34" s="6"/>
      <c r="F34" s="9"/>
      <c r="G34" s="8"/>
    </row>
    <row r="35" spans="1:7" ht="20.25">
      <c r="A35" s="6"/>
      <c r="B35" s="6"/>
      <c r="C35" s="6"/>
      <c r="D35" s="6"/>
      <c r="E35" s="6"/>
      <c r="F35" s="9"/>
      <c r="G35" s="8"/>
    </row>
  </sheetData>
  <autoFilter ref="A2:G2">
    <filterColumn colId="4"/>
  </autoFilter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(1)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2014-12-27T15:48:42Z</cp:lastPrinted>
  <dcterms:created xsi:type="dcterms:W3CDTF">2014-08-07T13:20:36Z</dcterms:created>
  <dcterms:modified xsi:type="dcterms:W3CDTF">2014-12-27T15:52:01Z</dcterms:modified>
</cp:coreProperties>
</file>