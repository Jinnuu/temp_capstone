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/>
  </bookViews>
  <sheets>
    <sheet name="월" sheetId="4" r:id="rId1"/>
    <sheet name="화" sheetId="5" r:id="rId2"/>
    <sheet name="수" sheetId="1" r:id="rId3"/>
    <sheet name="목" sheetId="8" r:id="rId4"/>
    <sheet name="금" sheetId="10" r:id="rId5"/>
  </sheets>
  <calcPr calcId="125725"/>
</workbook>
</file>

<file path=xl/calcChain.xml><?xml version="1.0" encoding="utf-8"?>
<calcChain xmlns="http://schemas.openxmlformats.org/spreadsheetml/2006/main">
  <c r="F44" i="4"/>
  <c r="F35"/>
  <c r="F34"/>
  <c r="F33"/>
  <c r="F27"/>
  <c r="F26"/>
  <c r="F36" i="10"/>
  <c r="F35"/>
  <c r="F34"/>
  <c r="F33"/>
  <c r="F32"/>
  <c r="F31"/>
  <c r="F30"/>
  <c r="F29"/>
  <c r="F28"/>
  <c r="F27"/>
  <c r="F26"/>
  <c r="F25"/>
  <c r="F23"/>
  <c r="F22"/>
  <c r="F21"/>
  <c r="F20"/>
  <c r="F19"/>
  <c r="F16"/>
  <c r="F15"/>
  <c r="F14"/>
  <c r="F13"/>
  <c r="F12"/>
  <c r="F11"/>
  <c r="F10"/>
  <c r="F9"/>
  <c r="F8"/>
  <c r="F7"/>
  <c r="F6"/>
  <c r="F5"/>
  <c r="F4"/>
  <c r="F36" i="8"/>
  <c r="F35"/>
  <c r="F34"/>
  <c r="F33"/>
  <c r="F32"/>
  <c r="F31"/>
  <c r="F30"/>
  <c r="F29"/>
  <c r="F28"/>
  <c r="F27"/>
  <c r="F26"/>
  <c r="F25"/>
  <c r="F23"/>
  <c r="F22"/>
  <c r="F21"/>
  <c r="F20"/>
  <c r="F19"/>
  <c r="F16"/>
  <c r="F15"/>
  <c r="F14"/>
  <c r="F13"/>
  <c r="F12"/>
  <c r="F11"/>
  <c r="F10"/>
  <c r="F9"/>
  <c r="F8"/>
  <c r="F7"/>
  <c r="F6"/>
  <c r="F5"/>
  <c r="F4"/>
  <c r="F36" i="1"/>
  <c r="F35"/>
  <c r="F34"/>
  <c r="F33"/>
  <c r="F32"/>
  <c r="F31"/>
  <c r="F30"/>
  <c r="F22" i="5"/>
  <c r="F30"/>
  <c r="F29"/>
  <c r="F28"/>
  <c r="F27"/>
  <c r="F26"/>
  <c r="F25"/>
  <c r="F24"/>
  <c r="F23"/>
  <c r="F21"/>
  <c r="F20"/>
  <c r="F19"/>
  <c r="F18"/>
  <c r="F17"/>
  <c r="F16"/>
  <c r="F15"/>
  <c r="F14"/>
  <c r="F13"/>
  <c r="F12"/>
  <c r="F11"/>
  <c r="F10"/>
  <c r="F8"/>
  <c r="F7"/>
  <c r="F6"/>
  <c r="F5"/>
  <c r="F4"/>
  <c r="F38" i="4"/>
  <c r="F36"/>
  <c r="F37"/>
  <c r="F39"/>
  <c r="F40"/>
  <c r="F41"/>
  <c r="F42"/>
  <c r="F43"/>
  <c r="F32"/>
  <c r="F19"/>
  <c r="F31"/>
  <c r="F22"/>
  <c r="F17"/>
  <c r="F18"/>
  <c r="F21"/>
  <c r="F23"/>
  <c r="F30"/>
  <c r="F29"/>
  <c r="F28"/>
  <c r="F25"/>
  <c r="F24"/>
  <c r="F15"/>
  <c r="F14"/>
  <c r="F13"/>
  <c r="F12"/>
  <c r="F11"/>
  <c r="F10"/>
  <c r="F9"/>
  <c r="F8"/>
  <c r="F7"/>
  <c r="F6"/>
  <c r="F5"/>
  <c r="F4"/>
  <c r="F17" i="1"/>
  <c r="F19"/>
  <c r="F20"/>
  <c r="F21"/>
  <c r="F22"/>
  <c r="F23"/>
  <c r="F25"/>
  <c r="F26"/>
  <c r="F27"/>
  <c r="F28"/>
  <c r="F29"/>
  <c r="F5"/>
  <c r="F6"/>
  <c r="F7"/>
  <c r="F8"/>
  <c r="F9"/>
  <c r="F10"/>
  <c r="F11"/>
  <c r="F12"/>
  <c r="F13"/>
  <c r="F14"/>
  <c r="F15"/>
  <c r="F16"/>
  <c r="F4"/>
</calcChain>
</file>

<file path=xl/sharedStrings.xml><?xml version="1.0" encoding="utf-8"?>
<sst xmlns="http://schemas.openxmlformats.org/spreadsheetml/2006/main" count="279" uniqueCount="121">
  <si>
    <t>발 주  예  정  서</t>
    <phoneticPr fontId="1" type="noConversion"/>
  </si>
  <si>
    <t>날 짜</t>
    <phoneticPr fontId="1" type="noConversion"/>
  </si>
  <si>
    <t>예상식수</t>
    <phoneticPr fontId="1" type="noConversion"/>
  </si>
  <si>
    <t>메 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</si>
  <si>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</si>
  <si>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</si>
  <si>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</si>
  <si>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차조밥</t>
    <phoneticPr fontId="1" type="noConversion"/>
  </si>
  <si>
    <t>비고</t>
    <phoneticPr fontId="1" type="noConversion"/>
  </si>
  <si>
    <t>월</t>
    <phoneticPr fontId="1" type="noConversion"/>
  </si>
  <si>
    <t>중식</t>
    <phoneticPr fontId="1" type="noConversion"/>
  </si>
  <si>
    <t>일반미</t>
    <phoneticPr fontId="1" type="noConversion"/>
  </si>
  <si>
    <t>호박</t>
    <phoneticPr fontId="1" type="noConversion"/>
  </si>
  <si>
    <t>호박된장국</t>
    <phoneticPr fontId="1" type="noConversion"/>
  </si>
  <si>
    <t>감자</t>
    <phoneticPr fontId="1" type="noConversion"/>
  </si>
  <si>
    <t>양파</t>
    <phoneticPr fontId="1" type="noConversion"/>
  </si>
  <si>
    <t>대파</t>
    <phoneticPr fontId="1" type="noConversion"/>
  </si>
  <si>
    <t>맛김치</t>
    <phoneticPr fontId="1" type="noConversion"/>
  </si>
  <si>
    <t>당근</t>
    <phoneticPr fontId="1" type="noConversion"/>
  </si>
  <si>
    <t>배추김치</t>
    <phoneticPr fontId="1" type="noConversion"/>
  </si>
  <si>
    <t>월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</si>
  <si>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</si>
  <si>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</si>
  <si>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</si>
  <si>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콩나물</t>
    <phoneticPr fontId="1" type="noConversion"/>
  </si>
  <si>
    <t>홍고추</t>
    <phoneticPr fontId="1" type="noConversion"/>
  </si>
  <si>
    <t>미역국</t>
    <phoneticPr fontId="1" type="noConversion"/>
  </si>
  <si>
    <t>건미역</t>
    <phoneticPr fontId="1" type="noConversion"/>
  </si>
  <si>
    <t>1봉</t>
    <phoneticPr fontId="1" type="noConversion"/>
  </si>
  <si>
    <t>화</t>
    <phoneticPr fontId="1" type="noConversion"/>
  </si>
  <si>
    <t>마카로니샐러드</t>
    <phoneticPr fontId="1" type="noConversion"/>
  </si>
  <si>
    <t>마카로니</t>
    <phoneticPr fontId="1" type="noConversion"/>
  </si>
  <si>
    <t>옥수수캔</t>
    <phoneticPr fontId="1" type="noConversion"/>
  </si>
  <si>
    <t>딩근</t>
    <phoneticPr fontId="1" type="noConversion"/>
  </si>
  <si>
    <t>건포도</t>
    <phoneticPr fontId="1" type="noConversion"/>
  </si>
  <si>
    <t>마요네즈</t>
    <phoneticPr fontId="1" type="noConversion"/>
  </si>
  <si>
    <t>흑미밥</t>
    <phoneticPr fontId="1" type="noConversion"/>
  </si>
  <si>
    <t>흑미</t>
    <phoneticPr fontId="1" type="noConversion"/>
  </si>
  <si>
    <t>쇠고기버섯찌개</t>
    <phoneticPr fontId="1" type="noConversion"/>
  </si>
  <si>
    <t>우불고기</t>
    <phoneticPr fontId="1" type="noConversion"/>
  </si>
  <si>
    <t>표고버섯캔</t>
    <phoneticPr fontId="1" type="noConversion"/>
  </si>
  <si>
    <t>팽이버섯</t>
    <phoneticPr fontId="1" type="noConversion"/>
  </si>
  <si>
    <t>참치두부조림</t>
    <phoneticPr fontId="1" type="noConversion"/>
  </si>
  <si>
    <t>참치캔</t>
    <phoneticPr fontId="1" type="noConversion"/>
  </si>
  <si>
    <t>포장두부</t>
    <phoneticPr fontId="1" type="noConversion"/>
  </si>
  <si>
    <t>셀프무쌈말이</t>
    <phoneticPr fontId="1" type="noConversion"/>
  </si>
  <si>
    <t>쌈무</t>
    <phoneticPr fontId="1" type="noConversion"/>
  </si>
  <si>
    <t>적채</t>
    <phoneticPr fontId="1" type="noConversion"/>
  </si>
  <si>
    <t>양배추</t>
    <phoneticPr fontId="1" type="noConversion"/>
  </si>
  <si>
    <t>슬라이스햄</t>
    <phoneticPr fontId="1" type="noConversion"/>
  </si>
  <si>
    <t>오이</t>
    <phoneticPr fontId="1" type="noConversion"/>
  </si>
  <si>
    <t>머스타드</t>
    <phoneticPr fontId="1" type="noConversion"/>
  </si>
  <si>
    <t>수</t>
    <phoneticPr fontId="1" type="noConversion"/>
  </si>
  <si>
    <t>현미밥</t>
    <phoneticPr fontId="1" type="noConversion"/>
  </si>
  <si>
    <t>현미</t>
    <phoneticPr fontId="1" type="noConversion"/>
  </si>
  <si>
    <t>안동찜닭</t>
    <phoneticPr fontId="1" type="noConversion"/>
  </si>
  <si>
    <t>닭도리육</t>
    <phoneticPr fontId="1" type="noConversion"/>
  </si>
  <si>
    <t>당면</t>
    <phoneticPr fontId="1" type="noConversion"/>
  </si>
  <si>
    <t>부추파프리카</t>
    <phoneticPr fontId="1" type="noConversion"/>
  </si>
  <si>
    <t>부추</t>
    <phoneticPr fontId="1" type="noConversion"/>
  </si>
  <si>
    <t>노랑파프리카</t>
    <phoneticPr fontId="1" type="noConversion"/>
  </si>
  <si>
    <t>빨강파프리카</t>
    <phoneticPr fontId="1" type="noConversion"/>
  </si>
  <si>
    <t>오리엔탈드레싱</t>
    <phoneticPr fontId="1" type="noConversion"/>
  </si>
  <si>
    <t>서리태밥</t>
    <phoneticPr fontId="1" type="noConversion"/>
  </si>
  <si>
    <t>서리태</t>
    <phoneticPr fontId="1" type="noConversion"/>
  </si>
  <si>
    <t>팽이미소국</t>
    <phoneticPr fontId="1" type="noConversion"/>
  </si>
  <si>
    <t>무</t>
    <phoneticPr fontId="1" type="noConversion"/>
  </si>
  <si>
    <t>수제돈까스</t>
    <phoneticPr fontId="1" type="noConversion"/>
  </si>
  <si>
    <t>50개</t>
    <phoneticPr fontId="1" type="noConversion"/>
  </si>
  <si>
    <t>식용유</t>
    <phoneticPr fontId="1" type="noConversion"/>
  </si>
  <si>
    <t>수</t>
    <phoneticPr fontId="1" type="noConversion"/>
  </si>
  <si>
    <t>석식</t>
    <phoneticPr fontId="1" type="noConversion"/>
  </si>
  <si>
    <t>돈가스소스</t>
    <phoneticPr fontId="1" type="noConversion"/>
  </si>
  <si>
    <t>양송이버섯</t>
    <phoneticPr fontId="1" type="noConversion"/>
  </si>
  <si>
    <t>쫄면야채무침</t>
    <phoneticPr fontId="1" type="noConversion"/>
  </si>
  <si>
    <t>쫄면</t>
    <phoneticPr fontId="1" type="noConversion"/>
  </si>
  <si>
    <t>목</t>
    <phoneticPr fontId="1" type="noConversion"/>
  </si>
  <si>
    <t>참치김치찌개</t>
    <phoneticPr fontId="1" type="noConversion"/>
  </si>
  <si>
    <t>새송이버섯</t>
    <phoneticPr fontId="1" type="noConversion"/>
  </si>
  <si>
    <t>시금치나물</t>
    <phoneticPr fontId="1" type="noConversion"/>
  </si>
  <si>
    <t>시금치</t>
    <phoneticPr fontId="1" type="noConversion"/>
  </si>
  <si>
    <t>차조밥</t>
    <phoneticPr fontId="1" type="noConversion"/>
  </si>
  <si>
    <t>설렁탕</t>
    <phoneticPr fontId="1" type="noConversion"/>
  </si>
  <si>
    <t>우사골엑기스</t>
    <phoneticPr fontId="1" type="noConversion"/>
  </si>
  <si>
    <t>우사태</t>
    <phoneticPr fontId="1" type="noConversion"/>
  </si>
  <si>
    <t>양념다데기</t>
    <phoneticPr fontId="1" type="noConversion"/>
  </si>
  <si>
    <t>오징어야채볶음</t>
    <phoneticPr fontId="1" type="noConversion"/>
  </si>
  <si>
    <t>오징어</t>
    <phoneticPr fontId="1" type="noConversion"/>
  </si>
  <si>
    <t>쥬키니호박</t>
    <phoneticPr fontId="1" type="noConversion"/>
  </si>
  <si>
    <t>청양고추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</si>
  <si>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</si>
  <si>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</si>
  <si>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</si>
  <si>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금</t>
    <phoneticPr fontId="1" type="noConversion"/>
  </si>
  <si>
    <t>금</t>
    <phoneticPr fontId="1" type="noConversion"/>
  </si>
  <si>
    <t>보리밥</t>
    <phoneticPr fontId="1" type="noConversion"/>
  </si>
  <si>
    <t>보리</t>
    <phoneticPr fontId="1" type="noConversion"/>
  </si>
  <si>
    <t>돼지갈비찜</t>
    <phoneticPr fontId="1" type="noConversion"/>
  </si>
  <si>
    <t>돼지갈비</t>
    <phoneticPr fontId="1" type="noConversion"/>
  </si>
  <si>
    <t>도라지오이무침</t>
    <phoneticPr fontId="1" type="noConversion"/>
  </si>
  <si>
    <t>도라지</t>
    <phoneticPr fontId="1" type="noConversion"/>
  </si>
  <si>
    <t>이츠웰허니아몬드</t>
    <phoneticPr fontId="1" type="noConversion"/>
  </si>
  <si>
    <t>2박스</t>
    <phoneticPr fontId="1" type="noConversion"/>
  </si>
  <si>
    <t>콩나물밥/양념장</t>
    <phoneticPr fontId="1" type="noConversion"/>
  </si>
  <si>
    <t>우둔잡채용</t>
    <phoneticPr fontId="1" type="noConversion"/>
  </si>
  <si>
    <t>채썰기</t>
    <phoneticPr fontId="1" type="noConversion"/>
  </si>
  <si>
    <t>팽이된장국</t>
    <phoneticPr fontId="1" type="noConversion"/>
  </si>
  <si>
    <t>팽이</t>
    <phoneticPr fontId="1" type="noConversion"/>
  </si>
  <si>
    <t>된장</t>
    <phoneticPr fontId="1" type="noConversion"/>
  </si>
  <si>
    <t>두부조림</t>
    <phoneticPr fontId="1" type="noConversion"/>
  </si>
  <si>
    <t>두부</t>
    <phoneticPr fontId="1" type="noConversion"/>
  </si>
  <si>
    <t>고춧가루</t>
    <phoneticPr fontId="1" type="noConversion"/>
  </si>
  <si>
    <t>적당히</t>
    <phoneticPr fontId="1" type="noConversion"/>
  </si>
  <si>
    <t>야채튀김</t>
    <phoneticPr fontId="1" type="noConversion"/>
  </si>
  <si>
    <t>쥬키니호박</t>
    <phoneticPr fontId="1" type="noConversion"/>
  </si>
  <si>
    <t>배추김치</t>
    <phoneticPr fontId="1" type="noConversion"/>
  </si>
  <si>
    <t>우둔불고기</t>
    <phoneticPr fontId="1" type="noConversion"/>
  </si>
  <si>
    <t>우둔불고기</t>
    <phoneticPr fontId="1" type="noConversion"/>
  </si>
  <si>
    <t>잡채</t>
    <phoneticPr fontId="1" type="noConversion"/>
  </si>
  <si>
    <t>당면</t>
    <phoneticPr fontId="1" type="noConversion"/>
  </si>
  <si>
    <t>3봉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</si>
</sst>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mm&quot;월&quot;\ dd&quot;일&quot;"/>
    <numFmt numFmtId="177" formatCode="General\ &quot;g&quot;"/>
    <numFmt numFmtId="178" formatCode="General\ &quot;kg&quot;"/>
    <numFmt numFmtId="179" formatCode="m&quot;/&quot;d;@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topLeftCell="A17" workbookViewId="0">
      <selection activeCell="J43" sqref="J43"/>
    </sheetView>
  </sheetViews>
  <sheetFormatPr defaultRowHeight="16.5"/>
  <cols>
    <col min="1" max="1" width="7.5" customWidth="1"/>
    <col min="2" max="2" width="8.375" customWidth="1"/>
    <col min="3" max="3" width="15.625" customWidth="1"/>
    <col min="4" max="4" width="14.75" customWidth="1"/>
    <col min="5" max="5" width="9.125" style="2" customWidth="1"/>
    <col min="6" max="6" width="9.25" style="3" customWidth="1"/>
    <col min="7" max="7" width="12.5" customWidth="1"/>
    <col min="8" max="9" width="9" hidden="1" customWidth="1"/>
  </cols>
  <sheetData>
    <row r="1" spans="1:9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 ht="17.25" thickBot="1">
      <c r="A2" s="38"/>
      <c r="B2" s="38"/>
      <c r="C2" s="38"/>
      <c r="D2" s="38"/>
      <c r="E2" s="38"/>
      <c r="F2" s="38"/>
      <c r="G2" s="38"/>
      <c r="H2" s="38"/>
      <c r="I2" s="38"/>
    </row>
    <row r="3" spans="1:9">
      <c r="A3" s="15" t="s">
        <v>1</v>
      </c>
      <c r="B3" s="16" t="s">
        <v>2</v>
      </c>
      <c r="C3" s="16" t="s">
        <v>3</v>
      </c>
      <c r="D3" s="16" t="s">
        <v>4</v>
      </c>
      <c r="E3" s="17" t="s">
        <v>5</v>
      </c>
      <c r="F3" s="18" t="s">
        <v>6</v>
      </c>
      <c r="G3" s="39" t="s">
        <v>8</v>
      </c>
      <c r="H3" s="40"/>
    </row>
    <row r="4" spans="1:9">
      <c r="A4" s="19">
        <v>41659</v>
      </c>
      <c r="B4" s="7">
        <v>50</v>
      </c>
      <c r="C4" s="31" t="s">
        <v>95</v>
      </c>
      <c r="D4" s="31" t="s">
        <v>96</v>
      </c>
      <c r="E4" s="8">
        <v>2</v>
      </c>
      <c r="F4" s="9">
        <f>(B4*E4)/1000</f>
        <v>0.1</v>
      </c>
      <c r="G4" s="33"/>
      <c r="H4" s="34"/>
    </row>
    <row r="5" spans="1:9">
      <c r="A5" s="20" t="s">
        <v>9</v>
      </c>
      <c r="B5" s="7">
        <v>50</v>
      </c>
      <c r="C5" s="7"/>
      <c r="D5" s="7" t="s">
        <v>11</v>
      </c>
      <c r="E5" s="8">
        <v>90</v>
      </c>
      <c r="F5" s="9">
        <f t="shared" ref="F5:F44" si="0">(B5*E5)/1000</f>
        <v>4.5</v>
      </c>
      <c r="G5" s="33"/>
      <c r="H5" s="34"/>
    </row>
    <row r="6" spans="1:9">
      <c r="A6" s="21" t="s">
        <v>10</v>
      </c>
      <c r="B6" s="7">
        <v>50</v>
      </c>
      <c r="C6" s="7" t="s">
        <v>13</v>
      </c>
      <c r="D6" s="7" t="s">
        <v>12</v>
      </c>
      <c r="E6" s="8">
        <v>20</v>
      </c>
      <c r="F6" s="9">
        <f t="shared" si="0"/>
        <v>1</v>
      </c>
      <c r="G6" s="33"/>
      <c r="H6" s="34"/>
    </row>
    <row r="7" spans="1:9">
      <c r="A7" s="21"/>
      <c r="B7" s="7">
        <v>50</v>
      </c>
      <c r="C7" s="7"/>
      <c r="D7" s="7" t="s">
        <v>14</v>
      </c>
      <c r="E7" s="8">
        <v>10</v>
      </c>
      <c r="F7" s="9">
        <f t="shared" si="0"/>
        <v>0.5</v>
      </c>
      <c r="G7" s="33"/>
      <c r="H7" s="34"/>
    </row>
    <row r="8" spans="1:9">
      <c r="A8" s="21"/>
      <c r="B8" s="7">
        <v>50</v>
      </c>
      <c r="C8" s="7"/>
      <c r="D8" s="7" t="s">
        <v>15</v>
      </c>
      <c r="E8" s="8">
        <v>10</v>
      </c>
      <c r="F8" s="9">
        <f t="shared" si="0"/>
        <v>0.5</v>
      </c>
      <c r="G8" s="33"/>
      <c r="H8" s="34"/>
    </row>
    <row r="9" spans="1:9">
      <c r="A9" s="21"/>
      <c r="B9" s="7">
        <v>50</v>
      </c>
      <c r="C9" s="7"/>
      <c r="D9" s="31" t="s">
        <v>41</v>
      </c>
      <c r="E9" s="8">
        <v>20</v>
      </c>
      <c r="F9" s="9">
        <f t="shared" si="0"/>
        <v>1</v>
      </c>
      <c r="G9" s="33"/>
      <c r="H9" s="34"/>
    </row>
    <row r="10" spans="1:9">
      <c r="A10" s="21"/>
      <c r="B10" s="7">
        <v>50</v>
      </c>
      <c r="C10" s="7"/>
      <c r="D10" s="7" t="s">
        <v>16</v>
      </c>
      <c r="E10" s="8">
        <v>2</v>
      </c>
      <c r="F10" s="9">
        <f t="shared" si="0"/>
        <v>0.1</v>
      </c>
      <c r="G10" s="33"/>
      <c r="H10" s="34"/>
    </row>
    <row r="11" spans="1:9">
      <c r="A11" s="21"/>
      <c r="B11" s="7">
        <v>50</v>
      </c>
      <c r="C11" s="31" t="s">
        <v>97</v>
      </c>
      <c r="D11" s="31" t="s">
        <v>98</v>
      </c>
      <c r="E11" s="8">
        <v>200</v>
      </c>
      <c r="F11" s="9">
        <f t="shared" si="0"/>
        <v>10</v>
      </c>
      <c r="G11" s="33"/>
      <c r="H11" s="34"/>
    </row>
    <row r="12" spans="1:9">
      <c r="A12" s="21"/>
      <c r="B12" s="7">
        <v>50</v>
      </c>
      <c r="C12" s="7"/>
      <c r="D12" s="7" t="s">
        <v>15</v>
      </c>
      <c r="E12" s="8">
        <v>20</v>
      </c>
      <c r="F12" s="9">
        <f t="shared" si="0"/>
        <v>1</v>
      </c>
      <c r="G12" s="33"/>
      <c r="H12" s="34"/>
    </row>
    <row r="13" spans="1:9">
      <c r="A13" s="21"/>
      <c r="B13" s="7">
        <v>50</v>
      </c>
      <c r="C13" s="7"/>
      <c r="D13" s="7" t="s">
        <v>18</v>
      </c>
      <c r="E13" s="8">
        <v>20</v>
      </c>
      <c r="F13" s="9">
        <f t="shared" si="0"/>
        <v>1</v>
      </c>
      <c r="G13" s="33"/>
      <c r="H13" s="34"/>
    </row>
    <row r="14" spans="1:9">
      <c r="A14" s="21"/>
      <c r="B14" s="7">
        <v>50</v>
      </c>
      <c r="C14" s="7"/>
      <c r="D14" s="7" t="s">
        <v>16</v>
      </c>
      <c r="E14" s="8">
        <v>2</v>
      </c>
      <c r="F14" s="9">
        <f t="shared" si="0"/>
        <v>0.1</v>
      </c>
      <c r="G14" s="33"/>
      <c r="H14" s="34"/>
      <c r="I14" s="4"/>
    </row>
    <row r="15" spans="1:9">
      <c r="A15" s="21"/>
      <c r="B15" s="7">
        <v>50</v>
      </c>
      <c r="C15" s="31" t="s">
        <v>99</v>
      </c>
      <c r="D15" s="31" t="s">
        <v>100</v>
      </c>
      <c r="E15" s="8">
        <v>60</v>
      </c>
      <c r="F15" s="9">
        <f t="shared" si="0"/>
        <v>3</v>
      </c>
      <c r="G15" s="33"/>
      <c r="H15" s="34"/>
    </row>
    <row r="16" spans="1:9">
      <c r="A16" s="21"/>
      <c r="B16" s="31">
        <v>50</v>
      </c>
      <c r="C16" s="31"/>
      <c r="D16" s="31" t="s">
        <v>50</v>
      </c>
      <c r="E16" s="8">
        <v>60</v>
      </c>
      <c r="F16" s="9">
        <v>3</v>
      </c>
      <c r="G16" s="31"/>
      <c r="H16" s="32"/>
    </row>
    <row r="17" spans="1:8">
      <c r="A17" s="21"/>
      <c r="B17" s="7">
        <v>50</v>
      </c>
      <c r="C17" s="7"/>
      <c r="D17" s="31" t="s">
        <v>15</v>
      </c>
      <c r="E17" s="8">
        <v>10</v>
      </c>
      <c r="F17" s="9">
        <f t="shared" si="0"/>
        <v>0.5</v>
      </c>
      <c r="G17" s="33"/>
      <c r="H17" s="34"/>
    </row>
    <row r="18" spans="1:8">
      <c r="A18" s="21"/>
      <c r="B18" s="7">
        <v>50</v>
      </c>
      <c r="C18" s="7" t="s">
        <v>19</v>
      </c>
      <c r="D18" s="7" t="s">
        <v>19</v>
      </c>
      <c r="E18" s="8">
        <v>50</v>
      </c>
      <c r="F18" s="9">
        <f t="shared" si="0"/>
        <v>2.5</v>
      </c>
      <c r="G18" s="33"/>
      <c r="H18" s="34"/>
    </row>
    <row r="19" spans="1:8">
      <c r="A19" s="21"/>
      <c r="B19" s="7">
        <v>50</v>
      </c>
      <c r="C19" s="31" t="s">
        <v>101</v>
      </c>
      <c r="D19" s="31" t="s">
        <v>101</v>
      </c>
      <c r="E19" s="8">
        <v>10</v>
      </c>
      <c r="F19" s="9">
        <f>(B19*E19)/1000</f>
        <v>0.5</v>
      </c>
      <c r="G19" s="31" t="s">
        <v>102</v>
      </c>
      <c r="H19" s="22"/>
    </row>
    <row r="20" spans="1:8">
      <c r="A20" s="23"/>
      <c r="B20" s="12"/>
      <c r="C20" s="12"/>
      <c r="D20" s="12"/>
      <c r="E20" s="13"/>
      <c r="F20" s="14"/>
      <c r="G20" s="35"/>
      <c r="H20" s="36"/>
    </row>
    <row r="21" spans="1:8">
      <c r="A21" s="19">
        <v>41659</v>
      </c>
      <c r="B21" s="7">
        <v>50</v>
      </c>
      <c r="C21" s="31" t="s">
        <v>103</v>
      </c>
      <c r="D21" s="31" t="s">
        <v>11</v>
      </c>
      <c r="E21" s="8">
        <v>90</v>
      </c>
      <c r="F21" s="9">
        <f t="shared" si="0"/>
        <v>4.5</v>
      </c>
      <c r="G21" s="33"/>
      <c r="H21" s="34"/>
    </row>
    <row r="22" spans="1:8">
      <c r="A22" s="21" t="s">
        <v>20</v>
      </c>
      <c r="B22" s="7">
        <v>50</v>
      </c>
      <c r="C22" s="7"/>
      <c r="D22" s="31" t="s">
        <v>24</v>
      </c>
      <c r="E22" s="8">
        <v>50</v>
      </c>
      <c r="F22" s="9">
        <f t="shared" si="0"/>
        <v>2.5</v>
      </c>
      <c r="G22" s="33"/>
      <c r="H22" s="34"/>
    </row>
    <row r="23" spans="1:8">
      <c r="A23" s="21" t="s">
        <v>21</v>
      </c>
      <c r="B23" s="7">
        <v>50</v>
      </c>
      <c r="C23" s="7"/>
      <c r="D23" s="31" t="s">
        <v>104</v>
      </c>
      <c r="E23" s="8">
        <v>10</v>
      </c>
      <c r="F23" s="9">
        <f t="shared" si="0"/>
        <v>0.5</v>
      </c>
      <c r="G23" s="33"/>
      <c r="H23" s="34"/>
    </row>
    <row r="24" spans="1:8">
      <c r="A24" s="21"/>
      <c r="B24" s="7">
        <v>50</v>
      </c>
      <c r="C24" s="7"/>
      <c r="D24" s="31" t="s">
        <v>18</v>
      </c>
      <c r="E24" s="8">
        <v>5</v>
      </c>
      <c r="F24" s="9">
        <f t="shared" si="0"/>
        <v>0.25</v>
      </c>
      <c r="G24" s="33" t="s">
        <v>105</v>
      </c>
      <c r="H24" s="34"/>
    </row>
    <row r="25" spans="1:8">
      <c r="A25" s="21"/>
      <c r="B25" s="7">
        <v>50</v>
      </c>
      <c r="C25" s="31" t="s">
        <v>106</v>
      </c>
      <c r="D25" s="31" t="s">
        <v>107</v>
      </c>
      <c r="E25" s="8">
        <v>40</v>
      </c>
      <c r="F25" s="9">
        <f t="shared" si="0"/>
        <v>2</v>
      </c>
      <c r="G25" s="33"/>
      <c r="H25" s="34"/>
    </row>
    <row r="26" spans="1:8">
      <c r="A26" s="21"/>
      <c r="B26" s="7">
        <v>50</v>
      </c>
      <c r="C26" s="7"/>
      <c r="D26" s="31" t="s">
        <v>108</v>
      </c>
      <c r="E26" s="8">
        <v>20</v>
      </c>
      <c r="F26" s="9">
        <f>(B26*E26)/1000</f>
        <v>1</v>
      </c>
      <c r="G26" s="33"/>
      <c r="H26" s="34"/>
    </row>
    <row r="27" spans="1:8">
      <c r="A27" s="21"/>
      <c r="B27" s="7">
        <v>50</v>
      </c>
      <c r="C27" s="31" t="s">
        <v>109</v>
      </c>
      <c r="D27" s="31" t="s">
        <v>110</v>
      </c>
      <c r="E27" s="8">
        <v>60</v>
      </c>
      <c r="F27" s="9">
        <f>(B27*E27)/1000</f>
        <v>3</v>
      </c>
      <c r="G27" s="33"/>
      <c r="H27" s="34"/>
    </row>
    <row r="28" spans="1:8">
      <c r="A28" s="21"/>
      <c r="B28" s="7">
        <v>50</v>
      </c>
      <c r="C28" s="7"/>
      <c r="D28" s="31" t="s">
        <v>15</v>
      </c>
      <c r="E28" s="8">
        <v>20</v>
      </c>
      <c r="F28" s="9">
        <f t="shared" si="0"/>
        <v>1</v>
      </c>
      <c r="G28" s="33"/>
      <c r="H28" s="34"/>
    </row>
    <row r="29" spans="1:8">
      <c r="A29" s="21"/>
      <c r="B29" s="7">
        <v>50</v>
      </c>
      <c r="C29" s="7"/>
      <c r="D29" s="31" t="s">
        <v>111</v>
      </c>
      <c r="E29" s="8">
        <v>10</v>
      </c>
      <c r="F29" s="9">
        <f t="shared" si="0"/>
        <v>0.5</v>
      </c>
      <c r="G29" s="33" t="s">
        <v>112</v>
      </c>
      <c r="H29" s="34"/>
    </row>
    <row r="30" spans="1:8">
      <c r="A30" s="21"/>
      <c r="B30" s="7">
        <v>50</v>
      </c>
      <c r="C30" s="31" t="s">
        <v>113</v>
      </c>
      <c r="D30" s="31" t="s">
        <v>91</v>
      </c>
      <c r="E30" s="8">
        <v>80</v>
      </c>
      <c r="F30" s="9">
        <f t="shared" si="0"/>
        <v>4</v>
      </c>
      <c r="G30" s="33"/>
      <c r="H30" s="34"/>
    </row>
    <row r="31" spans="1:8">
      <c r="A31" s="21"/>
      <c r="B31" s="7">
        <v>50</v>
      </c>
      <c r="C31" s="7"/>
      <c r="D31" s="31" t="s">
        <v>14</v>
      </c>
      <c r="E31" s="8">
        <v>10</v>
      </c>
      <c r="F31" s="9">
        <f t="shared" si="0"/>
        <v>0.5</v>
      </c>
      <c r="G31" s="33"/>
      <c r="H31" s="34"/>
    </row>
    <row r="32" spans="1:8">
      <c r="A32" s="21"/>
      <c r="B32" s="7">
        <v>50</v>
      </c>
      <c r="C32" s="7"/>
      <c r="D32" s="31" t="s">
        <v>18</v>
      </c>
      <c r="E32" s="8">
        <v>30</v>
      </c>
      <c r="F32" s="9">
        <f t="shared" si="0"/>
        <v>1.5</v>
      </c>
      <c r="G32" s="33"/>
      <c r="H32" s="34"/>
    </row>
    <row r="33" spans="1:8">
      <c r="A33" s="21"/>
      <c r="B33" s="31">
        <v>50</v>
      </c>
      <c r="C33" s="31"/>
      <c r="D33" s="31" t="s">
        <v>15</v>
      </c>
      <c r="E33" s="8">
        <v>30</v>
      </c>
      <c r="F33" s="9">
        <f t="shared" ref="F33:F35" si="1">(B33*E33)/1000</f>
        <v>1.5</v>
      </c>
      <c r="G33" s="31"/>
      <c r="H33" s="32"/>
    </row>
    <row r="34" spans="1:8">
      <c r="A34" s="21"/>
      <c r="B34" s="31">
        <v>50</v>
      </c>
      <c r="C34" s="31"/>
      <c r="D34" s="31" t="s">
        <v>114</v>
      </c>
      <c r="E34" s="8">
        <v>20</v>
      </c>
      <c r="F34" s="9">
        <f t="shared" si="1"/>
        <v>1</v>
      </c>
      <c r="G34" s="31"/>
      <c r="H34" s="32"/>
    </row>
    <row r="35" spans="1:8">
      <c r="A35" s="21"/>
      <c r="B35" s="31">
        <v>50</v>
      </c>
      <c r="C35" s="31" t="s">
        <v>115</v>
      </c>
      <c r="D35" s="31" t="s">
        <v>115</v>
      </c>
      <c r="E35" s="8">
        <v>50</v>
      </c>
      <c r="F35" s="9">
        <f t="shared" si="1"/>
        <v>2.5</v>
      </c>
      <c r="G35" s="7"/>
      <c r="H35" s="22"/>
    </row>
    <row r="36" spans="1:8">
      <c r="A36" s="19">
        <v>41660</v>
      </c>
      <c r="B36" s="7">
        <v>50</v>
      </c>
      <c r="C36" s="31" t="s">
        <v>63</v>
      </c>
      <c r="D36" s="31" t="s">
        <v>64</v>
      </c>
      <c r="E36" s="8">
        <v>2</v>
      </c>
      <c r="F36" s="9">
        <f t="shared" si="0"/>
        <v>0.1</v>
      </c>
      <c r="G36" s="7"/>
      <c r="H36" s="22"/>
    </row>
    <row r="37" spans="1:8">
      <c r="A37" s="21" t="s">
        <v>29</v>
      </c>
      <c r="B37" s="7">
        <v>50</v>
      </c>
      <c r="C37" s="7"/>
      <c r="D37" s="7" t="s">
        <v>11</v>
      </c>
      <c r="E37" s="8">
        <v>90</v>
      </c>
      <c r="F37" s="9">
        <f t="shared" si="0"/>
        <v>4.5</v>
      </c>
      <c r="G37" s="7"/>
      <c r="H37" s="22"/>
    </row>
    <row r="38" spans="1:8">
      <c r="A38" s="21" t="s">
        <v>10</v>
      </c>
      <c r="B38" s="7">
        <v>50</v>
      </c>
      <c r="C38" s="7" t="s">
        <v>26</v>
      </c>
      <c r="D38" s="7" t="s">
        <v>27</v>
      </c>
      <c r="E38" s="8"/>
      <c r="F38" s="9">
        <f>(B38*E38)/1000</f>
        <v>0</v>
      </c>
      <c r="G38" s="7" t="s">
        <v>28</v>
      </c>
      <c r="H38" s="22"/>
    </row>
    <row r="39" spans="1:8">
      <c r="A39" s="21"/>
      <c r="B39" s="7">
        <v>50</v>
      </c>
      <c r="C39" s="7"/>
      <c r="D39" s="31" t="s">
        <v>108</v>
      </c>
      <c r="E39" s="8">
        <v>10</v>
      </c>
      <c r="F39" s="9">
        <f t="shared" si="0"/>
        <v>0.5</v>
      </c>
      <c r="G39" s="31" t="s">
        <v>112</v>
      </c>
      <c r="H39" s="22"/>
    </row>
    <row r="40" spans="1:8">
      <c r="A40" s="21"/>
      <c r="B40" s="7">
        <v>50</v>
      </c>
      <c r="C40" s="31" t="s">
        <v>116</v>
      </c>
      <c r="D40" s="31" t="s">
        <v>117</v>
      </c>
      <c r="E40" s="8">
        <v>200</v>
      </c>
      <c r="F40" s="9">
        <f t="shared" si="0"/>
        <v>10</v>
      </c>
      <c r="G40" s="7"/>
      <c r="H40" s="22"/>
    </row>
    <row r="41" spans="1:8">
      <c r="A41" s="21"/>
      <c r="B41" s="7">
        <v>50</v>
      </c>
      <c r="C41" s="7"/>
      <c r="D41" s="31" t="s">
        <v>41</v>
      </c>
      <c r="E41" s="8">
        <v>20</v>
      </c>
      <c r="F41" s="9">
        <f t="shared" si="0"/>
        <v>1</v>
      </c>
      <c r="G41" s="7"/>
      <c r="H41" s="22"/>
    </row>
    <row r="42" spans="1:8">
      <c r="A42" s="21"/>
      <c r="B42" s="7">
        <v>50</v>
      </c>
      <c r="C42" s="7"/>
      <c r="D42" s="31" t="s">
        <v>15</v>
      </c>
      <c r="E42" s="8">
        <v>2</v>
      </c>
      <c r="F42" s="9">
        <f t="shared" si="0"/>
        <v>0.1</v>
      </c>
      <c r="G42" s="7"/>
      <c r="H42" s="22"/>
    </row>
    <row r="43" spans="1:8">
      <c r="A43" s="21"/>
      <c r="B43" s="7">
        <v>50</v>
      </c>
      <c r="C43" s="31"/>
      <c r="D43" s="31" t="s">
        <v>18</v>
      </c>
      <c r="E43" s="8">
        <v>20</v>
      </c>
      <c r="F43" s="9">
        <f t="shared" si="0"/>
        <v>1</v>
      </c>
      <c r="G43" s="7"/>
      <c r="H43" s="22"/>
    </row>
    <row r="44" spans="1:8">
      <c r="A44" s="21"/>
      <c r="B44" s="7">
        <v>50</v>
      </c>
      <c r="C44" s="31" t="s">
        <v>118</v>
      </c>
      <c r="D44" s="31" t="s">
        <v>119</v>
      </c>
      <c r="E44" s="8">
        <v>60</v>
      </c>
      <c r="F44" s="9">
        <f t="shared" si="0"/>
        <v>3</v>
      </c>
      <c r="G44" s="31" t="s">
        <v>120</v>
      </c>
      <c r="H44" s="22"/>
    </row>
    <row r="45" spans="1:8">
      <c r="B45" s="1"/>
    </row>
    <row r="46" spans="1:8">
      <c r="B46" s="1"/>
    </row>
    <row r="47" spans="1:8">
      <c r="B47" s="1"/>
    </row>
    <row r="48" spans="1:8">
      <c r="B48" s="1"/>
    </row>
    <row r="49" spans="2:2">
      <c r="B49" s="1"/>
    </row>
    <row r="50" spans="2:2">
      <c r="B50" s="1"/>
    </row>
  </sheetData>
  <mergeCells count="29">
    <mergeCell ref="G7:H7"/>
    <mergeCell ref="A1:I2"/>
    <mergeCell ref="G3:H3"/>
    <mergeCell ref="G4:H4"/>
    <mergeCell ref="G5:H5"/>
    <mergeCell ref="G6:H6"/>
    <mergeCell ref="G20:H20"/>
    <mergeCell ref="G8:H8"/>
    <mergeCell ref="G9:H9"/>
    <mergeCell ref="G10:H10"/>
    <mergeCell ref="G11:H11"/>
    <mergeCell ref="G12:H12"/>
    <mergeCell ref="G13:H13"/>
    <mergeCell ref="G14:H14"/>
    <mergeCell ref="G15:H15"/>
    <mergeCell ref="G17:H17"/>
    <mergeCell ref="G18:H18"/>
    <mergeCell ref="G32:H32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topLeftCell="A12" workbookViewId="0">
      <selection activeCell="J5" sqref="J5"/>
    </sheetView>
  </sheetViews>
  <sheetFormatPr defaultRowHeight="16.5"/>
  <cols>
    <col min="1" max="1" width="7.5" customWidth="1"/>
    <col min="2" max="2" width="8.375" customWidth="1"/>
    <col min="3" max="3" width="15.625" customWidth="1"/>
    <col min="4" max="4" width="14.75" customWidth="1"/>
    <col min="5" max="5" width="9.125" style="2" customWidth="1"/>
    <col min="6" max="6" width="9.25" style="3" customWidth="1"/>
    <col min="7" max="7" width="13.125" customWidth="1"/>
    <col min="8" max="9" width="9" hidden="1" customWidth="1"/>
  </cols>
  <sheetData>
    <row r="1" spans="1:9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>
      <c r="A2" s="38"/>
      <c r="B2" s="38"/>
      <c r="C2" s="38"/>
      <c r="D2" s="38"/>
      <c r="E2" s="38"/>
      <c r="F2" s="38"/>
      <c r="G2" s="38"/>
      <c r="H2" s="38"/>
      <c r="I2" s="38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33" t="s">
        <v>8</v>
      </c>
      <c r="H3" s="33"/>
    </row>
    <row r="4" spans="1:9">
      <c r="A4" s="10">
        <v>41653</v>
      </c>
      <c r="B4" s="7">
        <v>50</v>
      </c>
      <c r="C4" s="7"/>
      <c r="D4" s="7" t="s">
        <v>32</v>
      </c>
      <c r="E4" s="8">
        <v>20</v>
      </c>
      <c r="F4" s="9">
        <f>(B4*E4)/1000</f>
        <v>1</v>
      </c>
      <c r="G4" s="33"/>
      <c r="H4" s="33"/>
    </row>
    <row r="5" spans="1:9">
      <c r="A5" s="11" t="s">
        <v>29</v>
      </c>
      <c r="B5" s="7">
        <v>50</v>
      </c>
      <c r="C5" s="7"/>
      <c r="D5" s="7" t="s">
        <v>33</v>
      </c>
      <c r="E5" s="8">
        <v>5</v>
      </c>
      <c r="F5" s="9">
        <f t="shared" ref="F5:F30" si="0">(B5*E5)/1000</f>
        <v>0.25</v>
      </c>
      <c r="G5" s="33"/>
      <c r="H5" s="33"/>
    </row>
    <row r="6" spans="1:9">
      <c r="A6" s="7" t="s">
        <v>10</v>
      </c>
      <c r="B6" s="7">
        <v>50</v>
      </c>
      <c r="C6" s="7"/>
      <c r="D6" s="7" t="s">
        <v>34</v>
      </c>
      <c r="E6" s="8">
        <v>5</v>
      </c>
      <c r="F6" s="9">
        <f t="shared" si="0"/>
        <v>0.25</v>
      </c>
      <c r="G6" s="33"/>
      <c r="H6" s="33"/>
    </row>
    <row r="7" spans="1:9">
      <c r="A7" s="7"/>
      <c r="B7" s="7">
        <v>50</v>
      </c>
      <c r="C7" s="7"/>
      <c r="D7" s="7" t="s">
        <v>35</v>
      </c>
      <c r="E7" s="8">
        <v>30</v>
      </c>
      <c r="F7" s="9">
        <f t="shared" si="0"/>
        <v>1.5</v>
      </c>
      <c r="G7" s="33"/>
      <c r="H7" s="33"/>
    </row>
    <row r="8" spans="1:9">
      <c r="A8" s="7"/>
      <c r="B8" s="7">
        <v>50</v>
      </c>
      <c r="C8" s="7" t="s">
        <v>19</v>
      </c>
      <c r="D8" s="7" t="s">
        <v>19</v>
      </c>
      <c r="E8" s="8">
        <v>50</v>
      </c>
      <c r="F8" s="9">
        <f t="shared" si="0"/>
        <v>2.5</v>
      </c>
      <c r="G8" s="33"/>
      <c r="H8" s="33"/>
    </row>
    <row r="9" spans="1:9">
      <c r="A9" s="12"/>
      <c r="B9" s="12"/>
      <c r="C9" s="12"/>
      <c r="D9" s="12"/>
      <c r="E9" s="13"/>
      <c r="F9" s="14"/>
      <c r="G9" s="35"/>
      <c r="H9" s="35"/>
    </row>
    <row r="10" spans="1:9">
      <c r="A10" s="10">
        <v>41653</v>
      </c>
      <c r="B10" s="7">
        <v>50</v>
      </c>
      <c r="C10" s="7" t="s">
        <v>36</v>
      </c>
      <c r="D10" s="7" t="s">
        <v>37</v>
      </c>
      <c r="E10" s="8">
        <v>2</v>
      </c>
      <c r="F10" s="9">
        <f t="shared" si="0"/>
        <v>0.1</v>
      </c>
      <c r="G10" s="33"/>
      <c r="H10" s="33"/>
    </row>
    <row r="11" spans="1:9">
      <c r="A11" s="7" t="s">
        <v>29</v>
      </c>
      <c r="B11" s="7">
        <v>50</v>
      </c>
      <c r="C11" s="7"/>
      <c r="D11" s="7" t="s">
        <v>11</v>
      </c>
      <c r="E11" s="8">
        <v>90</v>
      </c>
      <c r="F11" s="9">
        <f t="shared" si="0"/>
        <v>4.5</v>
      </c>
      <c r="G11" s="33"/>
      <c r="H11" s="33"/>
    </row>
    <row r="12" spans="1:9">
      <c r="A12" s="7" t="s">
        <v>21</v>
      </c>
      <c r="B12" s="7">
        <v>50</v>
      </c>
      <c r="C12" s="7" t="s">
        <v>38</v>
      </c>
      <c r="D12" s="7" t="s">
        <v>39</v>
      </c>
      <c r="E12" s="8">
        <v>15</v>
      </c>
      <c r="F12" s="9">
        <f t="shared" si="0"/>
        <v>0.75</v>
      </c>
      <c r="G12" s="33"/>
      <c r="H12" s="33"/>
    </row>
    <row r="13" spans="1:9">
      <c r="A13" s="7"/>
      <c r="B13" s="7">
        <v>50</v>
      </c>
      <c r="C13" s="7"/>
      <c r="D13" s="7" t="s">
        <v>40</v>
      </c>
      <c r="E13" s="8">
        <v>10</v>
      </c>
      <c r="F13" s="9">
        <f t="shared" si="0"/>
        <v>0.5</v>
      </c>
      <c r="G13" s="33"/>
      <c r="H13" s="33"/>
    </row>
    <row r="14" spans="1:9">
      <c r="A14" s="7"/>
      <c r="B14" s="7">
        <v>50</v>
      </c>
      <c r="C14" s="7"/>
      <c r="D14" s="7" t="s">
        <v>41</v>
      </c>
      <c r="E14" s="8">
        <v>15</v>
      </c>
      <c r="F14" s="9">
        <f t="shared" si="0"/>
        <v>0.75</v>
      </c>
      <c r="G14" s="33"/>
      <c r="H14" s="33"/>
    </row>
    <row r="15" spans="1:9">
      <c r="A15" s="7"/>
      <c r="B15" s="7">
        <v>50</v>
      </c>
      <c r="C15" s="7"/>
      <c r="D15" s="7" t="s">
        <v>15</v>
      </c>
      <c r="E15" s="8">
        <v>10</v>
      </c>
      <c r="F15" s="9">
        <f t="shared" si="0"/>
        <v>0.5</v>
      </c>
      <c r="G15" s="33"/>
      <c r="H15" s="33"/>
      <c r="I15" s="4"/>
    </row>
    <row r="16" spans="1:9">
      <c r="A16" s="7"/>
      <c r="B16" s="7">
        <v>50</v>
      </c>
      <c r="C16" s="7"/>
      <c r="D16" s="7" t="s">
        <v>16</v>
      </c>
      <c r="E16" s="8">
        <v>2</v>
      </c>
      <c r="F16" s="9">
        <f t="shared" si="0"/>
        <v>0.1</v>
      </c>
      <c r="G16" s="33"/>
      <c r="H16" s="33"/>
    </row>
    <row r="17" spans="1:8">
      <c r="A17" s="7"/>
      <c r="B17" s="7">
        <v>50</v>
      </c>
      <c r="C17" s="7" t="s">
        <v>42</v>
      </c>
      <c r="D17" s="7" t="s">
        <v>43</v>
      </c>
      <c r="E17" s="8">
        <v>30</v>
      </c>
      <c r="F17" s="9">
        <f t="shared" si="0"/>
        <v>1.5</v>
      </c>
      <c r="G17" s="33"/>
      <c r="H17" s="33"/>
    </row>
    <row r="18" spans="1:8">
      <c r="A18" s="7"/>
      <c r="B18" s="7">
        <v>50</v>
      </c>
      <c r="C18" s="7"/>
      <c r="D18" s="7" t="s">
        <v>17</v>
      </c>
      <c r="E18" s="8">
        <v>30</v>
      </c>
      <c r="F18" s="9">
        <f t="shared" si="0"/>
        <v>1.5</v>
      </c>
      <c r="G18" s="33"/>
      <c r="H18" s="33"/>
    </row>
    <row r="19" spans="1:8">
      <c r="A19" s="7"/>
      <c r="B19" s="7">
        <v>50</v>
      </c>
      <c r="C19" s="7"/>
      <c r="D19" s="7" t="s">
        <v>44</v>
      </c>
      <c r="E19" s="8">
        <v>100</v>
      </c>
      <c r="F19" s="9">
        <f t="shared" si="0"/>
        <v>5</v>
      </c>
      <c r="G19" s="33"/>
      <c r="H19" s="33"/>
    </row>
    <row r="20" spans="1:8">
      <c r="A20" s="7"/>
      <c r="B20" s="7">
        <v>50</v>
      </c>
      <c r="C20" s="7"/>
      <c r="D20" s="7" t="s">
        <v>15</v>
      </c>
      <c r="E20" s="8">
        <v>10</v>
      </c>
      <c r="F20" s="9">
        <f t="shared" si="0"/>
        <v>0.5</v>
      </c>
      <c r="G20" s="33"/>
      <c r="H20" s="33"/>
    </row>
    <row r="21" spans="1:8">
      <c r="A21" s="7"/>
      <c r="B21" s="7">
        <v>50</v>
      </c>
      <c r="C21" s="7"/>
      <c r="D21" s="7" t="s">
        <v>16</v>
      </c>
      <c r="E21" s="8">
        <v>2</v>
      </c>
      <c r="F21" s="9">
        <f t="shared" si="0"/>
        <v>0.1</v>
      </c>
      <c r="G21" s="33"/>
      <c r="H21" s="33"/>
    </row>
    <row r="22" spans="1:8">
      <c r="A22" s="7"/>
      <c r="B22" s="7">
        <v>50</v>
      </c>
      <c r="C22" s="7" t="s">
        <v>45</v>
      </c>
      <c r="D22" s="7" t="s">
        <v>46</v>
      </c>
      <c r="E22" s="8">
        <v>85</v>
      </c>
      <c r="F22" s="9">
        <f t="shared" si="0"/>
        <v>4.25</v>
      </c>
      <c r="G22" s="7"/>
      <c r="H22" s="7"/>
    </row>
    <row r="23" spans="1:8">
      <c r="A23" s="10"/>
      <c r="B23" s="7">
        <v>50</v>
      </c>
      <c r="C23" s="7"/>
      <c r="D23" s="7" t="s">
        <v>47</v>
      </c>
      <c r="E23" s="8">
        <v>15</v>
      </c>
      <c r="F23" s="9">
        <f t="shared" si="0"/>
        <v>0.75</v>
      </c>
      <c r="G23" s="7"/>
      <c r="H23" s="7"/>
    </row>
    <row r="24" spans="1:8">
      <c r="A24" s="7"/>
      <c r="B24" s="7">
        <v>50</v>
      </c>
      <c r="C24" s="7"/>
      <c r="D24" s="7" t="s">
        <v>48</v>
      </c>
      <c r="E24" s="8">
        <v>30</v>
      </c>
      <c r="F24" s="9">
        <f t="shared" si="0"/>
        <v>1.5</v>
      </c>
      <c r="G24" s="7"/>
      <c r="H24" s="7"/>
    </row>
    <row r="25" spans="1:8">
      <c r="A25" s="7"/>
      <c r="B25" s="7">
        <v>50</v>
      </c>
      <c r="C25" s="7"/>
      <c r="D25" s="7" t="s">
        <v>49</v>
      </c>
      <c r="E25" s="8">
        <v>20</v>
      </c>
      <c r="F25" s="9">
        <f>(B25*E25)/1000</f>
        <v>1</v>
      </c>
      <c r="G25" s="7"/>
      <c r="H25" s="7"/>
    </row>
    <row r="26" spans="1:8">
      <c r="A26" s="7"/>
      <c r="B26" s="7">
        <v>50</v>
      </c>
      <c r="C26" s="7"/>
      <c r="D26" s="7" t="s">
        <v>18</v>
      </c>
      <c r="E26" s="8">
        <v>10</v>
      </c>
      <c r="F26" s="9">
        <f t="shared" si="0"/>
        <v>0.5</v>
      </c>
      <c r="G26" s="7"/>
      <c r="H26" s="7"/>
    </row>
    <row r="27" spans="1:8">
      <c r="A27" s="7"/>
      <c r="B27" s="7">
        <v>50</v>
      </c>
      <c r="C27" s="7"/>
      <c r="D27" s="7" t="s">
        <v>50</v>
      </c>
      <c r="E27" s="8">
        <v>15</v>
      </c>
      <c r="F27" s="9">
        <f t="shared" si="0"/>
        <v>0.75</v>
      </c>
      <c r="G27" s="7"/>
      <c r="H27" s="7"/>
    </row>
    <row r="28" spans="1:8">
      <c r="A28" s="7"/>
      <c r="B28" s="7">
        <v>50</v>
      </c>
      <c r="C28" s="7"/>
      <c r="D28" s="7" t="s">
        <v>51</v>
      </c>
      <c r="E28" s="8">
        <v>15</v>
      </c>
      <c r="F28" s="9">
        <f t="shared" si="0"/>
        <v>0.75</v>
      </c>
      <c r="G28" s="7"/>
      <c r="H28" s="7"/>
    </row>
    <row r="29" spans="1:8">
      <c r="A29" s="7"/>
      <c r="B29" s="7">
        <v>50</v>
      </c>
      <c r="C29" s="7" t="s">
        <v>19</v>
      </c>
      <c r="D29" s="7" t="s">
        <v>19</v>
      </c>
      <c r="E29" s="8">
        <v>50</v>
      </c>
      <c r="F29" s="9">
        <f t="shared" si="0"/>
        <v>2.5</v>
      </c>
      <c r="G29" s="7"/>
      <c r="H29" s="7"/>
    </row>
    <row r="30" spans="1:8">
      <c r="A30" s="7"/>
      <c r="B30" s="7">
        <v>50</v>
      </c>
      <c r="C30" s="7" t="s">
        <v>30</v>
      </c>
      <c r="D30" s="7" t="s">
        <v>31</v>
      </c>
      <c r="E30" s="8">
        <v>15</v>
      </c>
      <c r="F30" s="9">
        <f t="shared" si="0"/>
        <v>0.75</v>
      </c>
      <c r="G30" s="7"/>
      <c r="H30" s="7"/>
    </row>
    <row r="31" spans="1:8">
      <c r="A31" s="1"/>
      <c r="B31" s="1"/>
      <c r="C31" s="1"/>
      <c r="D31" s="1"/>
      <c r="E31" s="5"/>
      <c r="F31" s="6"/>
      <c r="G31" s="1"/>
      <c r="H31" s="1"/>
    </row>
    <row r="32" spans="1:8">
      <c r="A32" s="1"/>
      <c r="B32" s="1"/>
      <c r="C32" s="1"/>
      <c r="D32" s="1"/>
      <c r="E32" s="5"/>
      <c r="F32" s="6"/>
      <c r="G32" s="1"/>
      <c r="H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mergeCells count="20">
    <mergeCell ref="G9:H9"/>
    <mergeCell ref="G8:H8"/>
    <mergeCell ref="A1:I2"/>
    <mergeCell ref="G3:H3"/>
    <mergeCell ref="G4:H4"/>
    <mergeCell ref="G5:H5"/>
    <mergeCell ref="G6:H6"/>
    <mergeCell ref="G7:H7"/>
    <mergeCell ref="G21:H2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J10" sqref="J10"/>
    </sheetView>
  </sheetViews>
  <sheetFormatPr defaultRowHeight="16.5"/>
  <cols>
    <col min="1" max="1" width="7.875" customWidth="1"/>
    <col min="2" max="2" width="7.25" customWidth="1"/>
    <col min="3" max="3" width="12.12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>
      <c r="A2" s="38"/>
      <c r="B2" s="38"/>
      <c r="C2" s="38"/>
      <c r="D2" s="38"/>
      <c r="E2" s="38"/>
      <c r="F2" s="38"/>
      <c r="G2" s="38"/>
      <c r="H2" s="38"/>
      <c r="I2" s="38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33" t="s">
        <v>8</v>
      </c>
      <c r="H3" s="33"/>
    </row>
    <row r="4" spans="1:9">
      <c r="A4" s="10">
        <v>41654</v>
      </c>
      <c r="B4" s="7">
        <v>50</v>
      </c>
      <c r="C4" s="7" t="s">
        <v>53</v>
      </c>
      <c r="D4" s="7" t="s">
        <v>54</v>
      </c>
      <c r="E4" s="24">
        <v>2</v>
      </c>
      <c r="F4" s="25">
        <f>(B4*E4)/1000</f>
        <v>0.1</v>
      </c>
      <c r="G4" s="33"/>
      <c r="H4" s="33"/>
    </row>
    <row r="5" spans="1:9">
      <c r="A5" s="11" t="s">
        <v>52</v>
      </c>
      <c r="B5" s="7">
        <v>50</v>
      </c>
      <c r="C5" s="7"/>
      <c r="D5" s="7" t="s">
        <v>11</v>
      </c>
      <c r="E5" s="24">
        <v>90</v>
      </c>
      <c r="F5" s="25">
        <f t="shared" ref="F5:F36" si="0">(B5*E5)/1000</f>
        <v>4.5</v>
      </c>
      <c r="G5" s="33"/>
      <c r="H5" s="33"/>
    </row>
    <row r="6" spans="1:9">
      <c r="A6" s="7" t="s">
        <v>10</v>
      </c>
      <c r="B6" s="7">
        <v>50</v>
      </c>
      <c r="C6" s="7" t="s">
        <v>55</v>
      </c>
      <c r="D6" s="7" t="s">
        <v>56</v>
      </c>
      <c r="E6" s="24">
        <v>150</v>
      </c>
      <c r="F6" s="25">
        <f t="shared" si="0"/>
        <v>7.5</v>
      </c>
      <c r="G6" s="33"/>
      <c r="H6" s="33"/>
    </row>
    <row r="7" spans="1:9">
      <c r="A7" s="26"/>
      <c r="B7" s="7">
        <v>50</v>
      </c>
      <c r="C7" s="7"/>
      <c r="D7" s="7" t="s">
        <v>14</v>
      </c>
      <c r="E7" s="24">
        <v>30</v>
      </c>
      <c r="F7" s="25">
        <f t="shared" si="0"/>
        <v>1.5</v>
      </c>
      <c r="G7" s="33"/>
      <c r="H7" s="33"/>
    </row>
    <row r="8" spans="1:9">
      <c r="A8" s="26"/>
      <c r="B8" s="7">
        <v>50</v>
      </c>
      <c r="C8" s="7"/>
      <c r="D8" s="7" t="s">
        <v>18</v>
      </c>
      <c r="E8" s="24">
        <v>15</v>
      </c>
      <c r="F8" s="25">
        <f t="shared" si="0"/>
        <v>0.75</v>
      </c>
      <c r="G8" s="33"/>
      <c r="H8" s="33"/>
    </row>
    <row r="9" spans="1:9">
      <c r="A9" s="26"/>
      <c r="B9" s="7">
        <v>50</v>
      </c>
      <c r="C9" s="7"/>
      <c r="D9" s="7" t="s">
        <v>15</v>
      </c>
      <c r="E9" s="24">
        <v>25</v>
      </c>
      <c r="F9" s="25">
        <f t="shared" si="0"/>
        <v>1.25</v>
      </c>
      <c r="G9" s="33"/>
      <c r="H9" s="33"/>
    </row>
    <row r="10" spans="1:9">
      <c r="A10" s="26"/>
      <c r="B10" s="7">
        <v>50</v>
      </c>
      <c r="C10" s="7"/>
      <c r="D10" s="7" t="s">
        <v>16</v>
      </c>
      <c r="E10" s="24">
        <v>2</v>
      </c>
      <c r="F10" s="25">
        <f t="shared" si="0"/>
        <v>0.1</v>
      </c>
      <c r="G10" s="33"/>
      <c r="H10" s="33"/>
    </row>
    <row r="11" spans="1:9">
      <c r="A11" s="26"/>
      <c r="B11" s="7">
        <v>50</v>
      </c>
      <c r="C11" s="7"/>
      <c r="D11" s="7" t="s">
        <v>57</v>
      </c>
      <c r="E11" s="24">
        <v>10</v>
      </c>
      <c r="F11" s="25">
        <f t="shared" si="0"/>
        <v>0.5</v>
      </c>
      <c r="G11" s="33"/>
      <c r="H11" s="33"/>
    </row>
    <row r="12" spans="1:9">
      <c r="A12" s="26"/>
      <c r="B12" s="7">
        <v>50</v>
      </c>
      <c r="C12" s="7"/>
      <c r="D12" s="7" t="s">
        <v>25</v>
      </c>
      <c r="E12" s="24">
        <v>2</v>
      </c>
      <c r="F12" s="25">
        <f t="shared" si="0"/>
        <v>0.1</v>
      </c>
      <c r="G12" s="33"/>
      <c r="H12" s="33"/>
    </row>
    <row r="13" spans="1:9">
      <c r="A13" s="26"/>
      <c r="B13" s="7">
        <v>50</v>
      </c>
      <c r="C13" s="7" t="s">
        <v>58</v>
      </c>
      <c r="D13" s="7" t="s">
        <v>59</v>
      </c>
      <c r="E13" s="24">
        <v>10</v>
      </c>
      <c r="F13" s="25">
        <f t="shared" si="0"/>
        <v>0.5</v>
      </c>
      <c r="G13" s="33"/>
      <c r="H13" s="33"/>
    </row>
    <row r="14" spans="1:9">
      <c r="A14" s="26"/>
      <c r="B14" s="7">
        <v>50</v>
      </c>
      <c r="C14" s="7"/>
      <c r="D14" s="7" t="s">
        <v>60</v>
      </c>
      <c r="E14" s="24">
        <v>10</v>
      </c>
      <c r="F14" s="25">
        <f t="shared" si="0"/>
        <v>0.5</v>
      </c>
      <c r="G14" s="33"/>
      <c r="H14" s="33"/>
    </row>
    <row r="15" spans="1:9">
      <c r="A15" s="26"/>
      <c r="B15" s="7">
        <v>50</v>
      </c>
      <c r="C15" s="7"/>
      <c r="D15" s="7" t="s">
        <v>61</v>
      </c>
      <c r="E15" s="24">
        <v>10</v>
      </c>
      <c r="F15" s="25">
        <f t="shared" si="0"/>
        <v>0.5</v>
      </c>
      <c r="G15" s="33"/>
      <c r="H15" s="33"/>
      <c r="I15" s="4"/>
    </row>
    <row r="16" spans="1:9">
      <c r="A16" s="26"/>
      <c r="B16" s="7">
        <v>50</v>
      </c>
      <c r="C16" s="7"/>
      <c r="D16" s="7" t="s">
        <v>15</v>
      </c>
      <c r="E16" s="24">
        <v>10</v>
      </c>
      <c r="F16" s="25">
        <f t="shared" si="0"/>
        <v>0.5</v>
      </c>
      <c r="G16" s="33"/>
      <c r="H16" s="33"/>
    </row>
    <row r="17" spans="1:8">
      <c r="A17" s="26"/>
      <c r="B17" s="7">
        <v>50</v>
      </c>
      <c r="C17" s="7"/>
      <c r="D17" s="7" t="s">
        <v>62</v>
      </c>
      <c r="E17" s="24"/>
      <c r="F17" s="25">
        <f t="shared" si="0"/>
        <v>0</v>
      </c>
      <c r="G17" s="33"/>
      <c r="H17" s="33"/>
    </row>
    <row r="18" spans="1:8">
      <c r="A18" s="27"/>
      <c r="B18" s="12"/>
      <c r="C18" s="12"/>
      <c r="D18" s="12"/>
      <c r="E18" s="28"/>
      <c r="F18" s="29"/>
      <c r="G18" s="35"/>
      <c r="H18" s="35"/>
    </row>
    <row r="19" spans="1:8">
      <c r="A19" s="10">
        <v>41654</v>
      </c>
      <c r="B19" s="7">
        <v>50</v>
      </c>
      <c r="C19" s="7" t="s">
        <v>63</v>
      </c>
      <c r="D19" s="7" t="s">
        <v>64</v>
      </c>
      <c r="E19" s="24">
        <v>2</v>
      </c>
      <c r="F19" s="25">
        <f t="shared" si="0"/>
        <v>0.1</v>
      </c>
      <c r="G19" s="33"/>
      <c r="H19" s="33"/>
    </row>
    <row r="20" spans="1:8">
      <c r="A20" s="7" t="s">
        <v>70</v>
      </c>
      <c r="B20" s="7">
        <v>50</v>
      </c>
      <c r="C20" s="7"/>
      <c r="D20" s="7" t="s">
        <v>11</v>
      </c>
      <c r="E20" s="24">
        <v>90</v>
      </c>
      <c r="F20" s="25">
        <f t="shared" si="0"/>
        <v>4.5</v>
      </c>
      <c r="G20" s="33"/>
      <c r="H20" s="33"/>
    </row>
    <row r="21" spans="1:8">
      <c r="A21" s="7" t="s">
        <v>71</v>
      </c>
      <c r="B21" s="7">
        <v>50</v>
      </c>
      <c r="C21" s="7" t="s">
        <v>65</v>
      </c>
      <c r="D21" s="8" t="s">
        <v>41</v>
      </c>
      <c r="E21" s="24">
        <v>15</v>
      </c>
      <c r="F21" s="25">
        <f t="shared" si="0"/>
        <v>0.75</v>
      </c>
      <c r="G21" s="33"/>
      <c r="H21" s="33"/>
    </row>
    <row r="22" spans="1:8">
      <c r="A22" s="26"/>
      <c r="B22" s="7">
        <v>50</v>
      </c>
      <c r="C22" s="7"/>
      <c r="D22" s="7" t="s">
        <v>66</v>
      </c>
      <c r="E22" s="24">
        <v>15</v>
      </c>
      <c r="F22" s="25">
        <f t="shared" si="0"/>
        <v>0.75</v>
      </c>
      <c r="G22" s="33"/>
      <c r="H22" s="33"/>
    </row>
    <row r="23" spans="1:8">
      <c r="A23" s="26"/>
      <c r="B23" s="7">
        <v>50</v>
      </c>
      <c r="C23" s="7"/>
      <c r="D23" s="7" t="s">
        <v>16</v>
      </c>
      <c r="E23" s="24">
        <v>2</v>
      </c>
      <c r="F23" s="25">
        <f t="shared" si="0"/>
        <v>0.1</v>
      </c>
      <c r="G23" s="33"/>
      <c r="H23" s="33"/>
    </row>
    <row r="24" spans="1:8">
      <c r="A24" s="26"/>
      <c r="B24" s="7">
        <v>50</v>
      </c>
      <c r="C24" s="7" t="s">
        <v>67</v>
      </c>
      <c r="D24" s="7" t="s">
        <v>67</v>
      </c>
      <c r="E24" s="24"/>
      <c r="F24" s="30" t="s">
        <v>68</v>
      </c>
      <c r="G24" s="33"/>
      <c r="H24" s="33"/>
    </row>
    <row r="25" spans="1:8">
      <c r="A25" s="26"/>
      <c r="B25" s="7">
        <v>50</v>
      </c>
      <c r="C25" s="7"/>
      <c r="D25" s="7" t="s">
        <v>69</v>
      </c>
      <c r="E25" s="24"/>
      <c r="F25" s="25">
        <f t="shared" si="0"/>
        <v>0</v>
      </c>
      <c r="G25" s="33"/>
      <c r="H25" s="33"/>
    </row>
    <row r="26" spans="1:8">
      <c r="A26" s="26"/>
      <c r="B26" s="7">
        <v>50</v>
      </c>
      <c r="C26" s="7"/>
      <c r="D26" s="7" t="s">
        <v>72</v>
      </c>
      <c r="E26" s="24">
        <v>25</v>
      </c>
      <c r="F26" s="25">
        <f t="shared" si="0"/>
        <v>1.25</v>
      </c>
      <c r="G26" s="33"/>
      <c r="H26" s="33"/>
    </row>
    <row r="27" spans="1:8">
      <c r="A27" s="26"/>
      <c r="B27" s="7">
        <v>50</v>
      </c>
      <c r="C27" s="7"/>
      <c r="D27" s="7" t="s">
        <v>73</v>
      </c>
      <c r="E27" s="24">
        <v>10</v>
      </c>
      <c r="F27" s="25">
        <f t="shared" si="0"/>
        <v>0.5</v>
      </c>
      <c r="G27" s="33"/>
      <c r="H27" s="33"/>
    </row>
    <row r="28" spans="1:8">
      <c r="A28" s="26"/>
      <c r="B28" s="7">
        <v>50</v>
      </c>
      <c r="C28" s="7"/>
      <c r="D28" s="7" t="s">
        <v>15</v>
      </c>
      <c r="E28" s="24">
        <v>5</v>
      </c>
      <c r="F28" s="25">
        <f t="shared" si="0"/>
        <v>0.25</v>
      </c>
      <c r="G28" s="33"/>
      <c r="H28" s="33"/>
    </row>
    <row r="29" spans="1:8">
      <c r="A29" s="26"/>
      <c r="B29" s="7">
        <v>50</v>
      </c>
      <c r="C29" s="7"/>
      <c r="D29" s="7" t="s">
        <v>18</v>
      </c>
      <c r="E29" s="24">
        <v>5</v>
      </c>
      <c r="F29" s="25">
        <f t="shared" si="0"/>
        <v>0.25</v>
      </c>
      <c r="G29" s="33"/>
      <c r="H29" s="33"/>
    </row>
    <row r="30" spans="1:8">
      <c r="A30" s="26"/>
      <c r="B30" s="7">
        <v>50</v>
      </c>
      <c r="C30" s="7" t="s">
        <v>74</v>
      </c>
      <c r="D30" s="7" t="s">
        <v>75</v>
      </c>
      <c r="E30" s="24">
        <v>55</v>
      </c>
      <c r="F30" s="25">
        <f t="shared" si="0"/>
        <v>2.75</v>
      </c>
      <c r="G30" s="33"/>
      <c r="H30" s="33"/>
    </row>
    <row r="31" spans="1:8">
      <c r="A31" s="26"/>
      <c r="B31" s="7">
        <v>50</v>
      </c>
      <c r="C31" s="7"/>
      <c r="D31" s="7" t="s">
        <v>15</v>
      </c>
      <c r="E31" s="24">
        <v>15</v>
      </c>
      <c r="F31" s="25">
        <f t="shared" si="0"/>
        <v>0.75</v>
      </c>
      <c r="G31" s="33"/>
      <c r="H31" s="33"/>
    </row>
    <row r="32" spans="1:8">
      <c r="A32" s="26"/>
      <c r="B32" s="7">
        <v>50</v>
      </c>
      <c r="C32" s="7"/>
      <c r="D32" s="7" t="s">
        <v>48</v>
      </c>
      <c r="E32" s="24">
        <v>20</v>
      </c>
      <c r="F32" s="25">
        <f t="shared" si="0"/>
        <v>1</v>
      </c>
      <c r="G32" s="26"/>
      <c r="H32" s="26"/>
    </row>
    <row r="33" spans="1:8">
      <c r="A33" s="26"/>
      <c r="B33" s="7">
        <v>50</v>
      </c>
      <c r="C33" s="7"/>
      <c r="D33" s="7" t="s">
        <v>18</v>
      </c>
      <c r="E33" s="24">
        <v>5</v>
      </c>
      <c r="F33" s="25">
        <f t="shared" si="0"/>
        <v>0.25</v>
      </c>
      <c r="G33" s="26"/>
      <c r="H33" s="26"/>
    </row>
    <row r="34" spans="1:8">
      <c r="A34" s="26"/>
      <c r="B34" s="7">
        <v>50</v>
      </c>
      <c r="C34" s="7"/>
      <c r="D34" s="7" t="s">
        <v>24</v>
      </c>
      <c r="E34" s="24">
        <v>17</v>
      </c>
      <c r="F34" s="25">
        <f t="shared" si="0"/>
        <v>0.85</v>
      </c>
      <c r="G34" s="26"/>
      <c r="H34" s="26"/>
    </row>
    <row r="35" spans="1:8">
      <c r="A35" s="26"/>
      <c r="B35" s="7">
        <v>50</v>
      </c>
      <c r="C35" s="7"/>
      <c r="D35" s="7" t="s">
        <v>16</v>
      </c>
      <c r="E35" s="24">
        <v>2</v>
      </c>
      <c r="F35" s="25">
        <f t="shared" si="0"/>
        <v>0.1</v>
      </c>
      <c r="G35" s="26"/>
      <c r="H35" s="26"/>
    </row>
    <row r="36" spans="1:8">
      <c r="A36" s="26"/>
      <c r="B36" s="7">
        <v>50</v>
      </c>
      <c r="C36" s="7" t="s">
        <v>19</v>
      </c>
      <c r="D36" s="7" t="s">
        <v>19</v>
      </c>
      <c r="E36" s="24">
        <v>50</v>
      </c>
      <c r="F36" s="25">
        <f t="shared" si="0"/>
        <v>2.5</v>
      </c>
      <c r="G36" s="26"/>
      <c r="H36" s="26"/>
    </row>
    <row r="37" spans="1:8">
      <c r="B37" s="1"/>
      <c r="C37" s="1"/>
      <c r="D37" s="1"/>
    </row>
    <row r="38" spans="1:8">
      <c r="B38" s="1"/>
      <c r="C38" s="1"/>
      <c r="D38" s="1"/>
    </row>
    <row r="39" spans="1:8">
      <c r="B39" s="1"/>
      <c r="C39" s="1"/>
      <c r="D39" s="1"/>
    </row>
    <row r="40" spans="1:8">
      <c r="B40" s="1"/>
      <c r="C40" s="1"/>
      <c r="D40" s="1"/>
    </row>
    <row r="41" spans="1:8">
      <c r="B41" s="1"/>
      <c r="C41" s="1"/>
      <c r="D41" s="1"/>
    </row>
    <row r="42" spans="1:8">
      <c r="C42" s="1"/>
      <c r="D42" s="1"/>
    </row>
    <row r="43" spans="1:8">
      <c r="C43" s="1"/>
      <c r="D43" s="1"/>
    </row>
  </sheetData>
  <mergeCells count="30">
    <mergeCell ref="G7:H7"/>
    <mergeCell ref="G8:H8"/>
    <mergeCell ref="G9:H9"/>
    <mergeCell ref="G10:H10"/>
    <mergeCell ref="A1:I2"/>
    <mergeCell ref="G3:H3"/>
    <mergeCell ref="G4:H4"/>
    <mergeCell ref="G5:H5"/>
    <mergeCell ref="G6:H6"/>
    <mergeCell ref="G22:H22"/>
    <mergeCell ref="G11:H11"/>
    <mergeCell ref="G12:H12"/>
    <mergeCell ref="G13:H13"/>
    <mergeCell ref="G14:H14"/>
    <mergeCell ref="G16:H16"/>
    <mergeCell ref="G15:H15"/>
    <mergeCell ref="G17:H17"/>
    <mergeCell ref="G18:H18"/>
    <mergeCell ref="G19:H19"/>
    <mergeCell ref="G20:H20"/>
    <mergeCell ref="G21:H21"/>
    <mergeCell ref="G29:H29"/>
    <mergeCell ref="G30:H30"/>
    <mergeCell ref="G31:H31"/>
    <mergeCell ref="G23:H23"/>
    <mergeCell ref="G24:H24"/>
    <mergeCell ref="G25:H25"/>
    <mergeCell ref="G26:H26"/>
    <mergeCell ref="G27:H27"/>
    <mergeCell ref="G28:H2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J13" sqref="J13"/>
    </sheetView>
  </sheetViews>
  <sheetFormatPr defaultRowHeight="16.5"/>
  <cols>
    <col min="1" max="1" width="7.875" customWidth="1"/>
    <col min="2" max="2" width="7.25" customWidth="1"/>
    <col min="3" max="3" width="14.7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>
      <c r="A2" s="38"/>
      <c r="B2" s="38"/>
      <c r="C2" s="38"/>
      <c r="D2" s="38"/>
      <c r="E2" s="38"/>
      <c r="F2" s="38"/>
      <c r="G2" s="38"/>
      <c r="H2" s="38"/>
      <c r="I2" s="38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33" t="s">
        <v>8</v>
      </c>
      <c r="H3" s="33"/>
    </row>
    <row r="4" spans="1:9">
      <c r="A4" s="10">
        <v>41655</v>
      </c>
      <c r="B4" s="7">
        <v>50</v>
      </c>
      <c r="C4" s="7" t="s">
        <v>22</v>
      </c>
      <c r="D4" s="7" t="s">
        <v>23</v>
      </c>
      <c r="E4" s="24">
        <v>2</v>
      </c>
      <c r="F4" s="25">
        <f>(B4*E4)/1000</f>
        <v>0.1</v>
      </c>
      <c r="G4" s="33"/>
      <c r="H4" s="33"/>
    </row>
    <row r="5" spans="1:9">
      <c r="A5" s="11" t="s">
        <v>76</v>
      </c>
      <c r="B5" s="7">
        <v>50</v>
      </c>
      <c r="C5" s="7"/>
      <c r="D5" s="7" t="s">
        <v>11</v>
      </c>
      <c r="E5" s="24">
        <v>90</v>
      </c>
      <c r="F5" s="25">
        <f t="shared" ref="F5:F36" si="0">(B5*E5)/1000</f>
        <v>4.5</v>
      </c>
      <c r="G5" s="33"/>
      <c r="H5" s="33"/>
    </row>
    <row r="6" spans="1:9">
      <c r="A6" s="7" t="s">
        <v>10</v>
      </c>
      <c r="B6" s="7">
        <v>50</v>
      </c>
      <c r="C6" s="7" t="s">
        <v>77</v>
      </c>
      <c r="D6" s="7" t="s">
        <v>43</v>
      </c>
      <c r="E6" s="24">
        <v>30</v>
      </c>
      <c r="F6" s="25">
        <f t="shared" si="0"/>
        <v>1.5</v>
      </c>
      <c r="G6" s="33"/>
      <c r="H6" s="33"/>
    </row>
    <row r="7" spans="1:9">
      <c r="A7" s="26"/>
      <c r="B7" s="7">
        <v>50</v>
      </c>
      <c r="C7" s="7"/>
      <c r="D7" s="7" t="s">
        <v>17</v>
      </c>
      <c r="E7" s="24">
        <v>35</v>
      </c>
      <c r="F7" s="25">
        <f t="shared" si="0"/>
        <v>1.75</v>
      </c>
      <c r="G7" s="33"/>
      <c r="H7" s="33"/>
    </row>
    <row r="8" spans="1:9">
      <c r="A8" s="26"/>
      <c r="B8" s="7">
        <v>50</v>
      </c>
      <c r="C8" s="7"/>
      <c r="D8" s="7" t="s">
        <v>16</v>
      </c>
      <c r="E8" s="24">
        <v>2</v>
      </c>
      <c r="F8" s="25">
        <f t="shared" si="0"/>
        <v>0.1</v>
      </c>
      <c r="G8" s="33"/>
      <c r="H8" s="33"/>
    </row>
    <row r="9" spans="1:9">
      <c r="A9" s="26"/>
      <c r="B9" s="7">
        <v>50</v>
      </c>
      <c r="C9" s="7" t="s">
        <v>39</v>
      </c>
      <c r="D9" s="7" t="s">
        <v>78</v>
      </c>
      <c r="E9" s="24">
        <v>20</v>
      </c>
      <c r="F9" s="25">
        <f t="shared" si="0"/>
        <v>1</v>
      </c>
      <c r="G9" s="33"/>
      <c r="H9" s="33"/>
    </row>
    <row r="10" spans="1:9">
      <c r="A10" s="26"/>
      <c r="B10" s="7">
        <v>50</v>
      </c>
      <c r="C10" s="7"/>
      <c r="D10" s="7" t="s">
        <v>48</v>
      </c>
      <c r="E10" s="24">
        <v>30</v>
      </c>
      <c r="F10" s="25">
        <f t="shared" si="0"/>
        <v>1.5</v>
      </c>
      <c r="G10" s="33"/>
      <c r="H10" s="33"/>
    </row>
    <row r="11" spans="1:9">
      <c r="A11" s="26"/>
      <c r="B11" s="7">
        <v>50</v>
      </c>
      <c r="C11" s="7"/>
      <c r="D11" s="7" t="s">
        <v>41</v>
      </c>
      <c r="E11" s="24">
        <v>20</v>
      </c>
      <c r="F11" s="25">
        <f t="shared" si="0"/>
        <v>1</v>
      </c>
      <c r="G11" s="33"/>
      <c r="H11" s="33"/>
    </row>
    <row r="12" spans="1:9">
      <c r="A12" s="26"/>
      <c r="B12" s="7">
        <v>50</v>
      </c>
      <c r="C12" s="7"/>
      <c r="D12" s="7" t="s">
        <v>39</v>
      </c>
      <c r="E12" s="24">
        <v>200</v>
      </c>
      <c r="F12" s="25">
        <f t="shared" si="0"/>
        <v>10</v>
      </c>
      <c r="G12" s="33"/>
      <c r="H12" s="33"/>
    </row>
    <row r="13" spans="1:9">
      <c r="A13" s="26"/>
      <c r="B13" s="7">
        <v>50</v>
      </c>
      <c r="C13" s="7"/>
      <c r="D13" s="7" t="s">
        <v>15</v>
      </c>
      <c r="E13" s="24">
        <v>25</v>
      </c>
      <c r="F13" s="25">
        <f t="shared" si="0"/>
        <v>1.25</v>
      </c>
      <c r="G13" s="33"/>
      <c r="H13" s="33"/>
    </row>
    <row r="14" spans="1:9">
      <c r="A14" s="26"/>
      <c r="B14" s="7">
        <v>50</v>
      </c>
      <c r="C14" s="7"/>
      <c r="D14" s="7" t="s">
        <v>16</v>
      </c>
      <c r="E14" s="24">
        <v>2</v>
      </c>
      <c r="F14" s="25">
        <f t="shared" si="0"/>
        <v>0.1</v>
      </c>
      <c r="G14" s="33"/>
      <c r="H14" s="33"/>
    </row>
    <row r="15" spans="1:9">
      <c r="A15" s="26"/>
      <c r="B15" s="7">
        <v>50</v>
      </c>
      <c r="C15" s="7" t="s">
        <v>79</v>
      </c>
      <c r="D15" s="7" t="s">
        <v>80</v>
      </c>
      <c r="E15" s="24">
        <v>70</v>
      </c>
      <c r="F15" s="25">
        <f t="shared" si="0"/>
        <v>3.5</v>
      </c>
      <c r="G15" s="33"/>
      <c r="H15" s="33"/>
      <c r="I15" s="4"/>
    </row>
    <row r="16" spans="1:9">
      <c r="A16" s="26"/>
      <c r="B16" s="7">
        <v>50</v>
      </c>
      <c r="C16" s="7"/>
      <c r="D16" s="7" t="s">
        <v>18</v>
      </c>
      <c r="E16" s="24">
        <v>10</v>
      </c>
      <c r="F16" s="25">
        <f t="shared" si="0"/>
        <v>0.5</v>
      </c>
      <c r="G16" s="33"/>
      <c r="H16" s="33"/>
    </row>
    <row r="17" spans="1:8">
      <c r="A17" s="26"/>
      <c r="B17" s="7"/>
      <c r="C17" s="7"/>
      <c r="D17" s="7"/>
      <c r="E17" s="24"/>
      <c r="F17" s="25"/>
      <c r="G17" s="33"/>
      <c r="H17" s="33"/>
    </row>
    <row r="18" spans="1:8">
      <c r="A18" s="27"/>
      <c r="B18" s="12"/>
      <c r="C18" s="12"/>
      <c r="D18" s="12"/>
      <c r="E18" s="28"/>
      <c r="F18" s="29"/>
      <c r="G18" s="35"/>
      <c r="H18" s="35"/>
    </row>
    <row r="19" spans="1:8">
      <c r="A19" s="10">
        <v>41655</v>
      </c>
      <c r="B19" s="7">
        <v>50</v>
      </c>
      <c r="C19" s="7" t="s">
        <v>81</v>
      </c>
      <c r="D19" s="7" t="s">
        <v>7</v>
      </c>
      <c r="E19" s="24">
        <v>2</v>
      </c>
      <c r="F19" s="25">
        <f t="shared" si="0"/>
        <v>0.1</v>
      </c>
      <c r="G19" s="33"/>
      <c r="H19" s="33"/>
    </row>
    <row r="20" spans="1:8">
      <c r="A20" s="7" t="s">
        <v>76</v>
      </c>
      <c r="B20" s="7">
        <v>50</v>
      </c>
      <c r="C20" s="7"/>
      <c r="D20" s="7" t="s">
        <v>11</v>
      </c>
      <c r="E20" s="24">
        <v>90</v>
      </c>
      <c r="F20" s="25">
        <f t="shared" si="0"/>
        <v>4.5</v>
      </c>
      <c r="G20" s="33"/>
      <c r="H20" s="33"/>
    </row>
    <row r="21" spans="1:8">
      <c r="A21" s="7" t="s">
        <v>71</v>
      </c>
      <c r="B21" s="7">
        <v>50</v>
      </c>
      <c r="C21" s="7" t="s">
        <v>82</v>
      </c>
      <c r="D21" s="8" t="s">
        <v>83</v>
      </c>
      <c r="E21" s="24">
        <v>5</v>
      </c>
      <c r="F21" s="25">
        <f t="shared" si="0"/>
        <v>0.25</v>
      </c>
      <c r="G21" s="33"/>
      <c r="H21" s="33"/>
    </row>
    <row r="22" spans="1:8">
      <c r="A22" s="26"/>
      <c r="B22" s="7">
        <v>50</v>
      </c>
      <c r="C22" s="7"/>
      <c r="D22" s="7" t="s">
        <v>84</v>
      </c>
      <c r="E22" s="24">
        <v>35</v>
      </c>
      <c r="F22" s="25">
        <f t="shared" si="0"/>
        <v>1.75</v>
      </c>
      <c r="G22" s="33"/>
      <c r="H22" s="33"/>
    </row>
    <row r="23" spans="1:8">
      <c r="A23" s="26"/>
      <c r="B23" s="7">
        <v>50</v>
      </c>
      <c r="C23" s="7"/>
      <c r="D23" s="7" t="s">
        <v>66</v>
      </c>
      <c r="E23" s="24">
        <v>30</v>
      </c>
      <c r="F23" s="25">
        <f t="shared" si="0"/>
        <v>1.5</v>
      </c>
      <c r="G23" s="33"/>
      <c r="H23" s="33"/>
    </row>
    <row r="24" spans="1:8">
      <c r="A24" s="26"/>
      <c r="B24" s="7">
        <v>50</v>
      </c>
      <c r="C24" s="7" t="s">
        <v>85</v>
      </c>
      <c r="D24" s="7" t="s">
        <v>85</v>
      </c>
      <c r="E24" s="24"/>
      <c r="F24" s="30"/>
      <c r="G24" s="33"/>
      <c r="H24" s="33"/>
    </row>
    <row r="25" spans="1:8">
      <c r="A25" s="26"/>
      <c r="B25" s="7">
        <v>50</v>
      </c>
      <c r="C25" s="7" t="s">
        <v>86</v>
      </c>
      <c r="D25" s="7" t="s">
        <v>87</v>
      </c>
      <c r="E25" s="24">
        <v>100</v>
      </c>
      <c r="F25" s="25">
        <f t="shared" si="0"/>
        <v>5</v>
      </c>
      <c r="G25" s="33"/>
      <c r="H25" s="33"/>
    </row>
    <row r="26" spans="1:8">
      <c r="A26" s="26"/>
      <c r="B26" s="7">
        <v>50</v>
      </c>
      <c r="C26" s="7"/>
      <c r="D26" s="7" t="s">
        <v>48</v>
      </c>
      <c r="E26" s="24">
        <v>30</v>
      </c>
      <c r="F26" s="25">
        <f t="shared" si="0"/>
        <v>1.5</v>
      </c>
      <c r="G26" s="33"/>
      <c r="H26" s="33"/>
    </row>
    <row r="27" spans="1:8">
      <c r="A27" s="26"/>
      <c r="B27" s="7">
        <v>50</v>
      </c>
      <c r="C27" s="7"/>
      <c r="D27" s="7" t="s">
        <v>88</v>
      </c>
      <c r="E27" s="24">
        <v>20</v>
      </c>
      <c r="F27" s="25">
        <f t="shared" si="0"/>
        <v>1</v>
      </c>
      <c r="G27" s="33"/>
      <c r="H27" s="33"/>
    </row>
    <row r="28" spans="1:8">
      <c r="A28" s="26"/>
      <c r="B28" s="7">
        <v>50</v>
      </c>
      <c r="C28" s="7"/>
      <c r="D28" s="7" t="s">
        <v>15</v>
      </c>
      <c r="E28" s="24">
        <v>20</v>
      </c>
      <c r="F28" s="25">
        <f t="shared" si="0"/>
        <v>1</v>
      </c>
      <c r="G28" s="33"/>
      <c r="H28" s="33"/>
    </row>
    <row r="29" spans="1:8">
      <c r="A29" s="26"/>
      <c r="B29" s="7">
        <v>50</v>
      </c>
      <c r="C29" s="7"/>
      <c r="D29" s="7" t="s">
        <v>18</v>
      </c>
      <c r="E29" s="24">
        <v>5</v>
      </c>
      <c r="F29" s="25">
        <f t="shared" si="0"/>
        <v>0.25</v>
      </c>
      <c r="G29" s="33"/>
      <c r="H29" s="33"/>
    </row>
    <row r="30" spans="1:8">
      <c r="A30" s="26"/>
      <c r="B30" s="7">
        <v>50</v>
      </c>
      <c r="C30" s="7"/>
      <c r="D30" s="7" t="s">
        <v>89</v>
      </c>
      <c r="E30" s="24">
        <v>5</v>
      </c>
      <c r="F30" s="25">
        <f t="shared" si="0"/>
        <v>0.25</v>
      </c>
      <c r="G30" s="33"/>
      <c r="H30" s="33"/>
    </row>
    <row r="31" spans="1:8">
      <c r="A31" s="26"/>
      <c r="B31" s="7">
        <v>50</v>
      </c>
      <c r="C31" s="7"/>
      <c r="D31" s="7" t="s">
        <v>16</v>
      </c>
      <c r="E31" s="24">
        <v>2</v>
      </c>
      <c r="F31" s="25">
        <f t="shared" si="0"/>
        <v>0.1</v>
      </c>
      <c r="G31" s="33"/>
      <c r="H31" s="33"/>
    </row>
    <row r="32" spans="1:8">
      <c r="A32" s="26"/>
      <c r="B32" s="7">
        <v>50</v>
      </c>
      <c r="C32" s="7" t="s">
        <v>90</v>
      </c>
      <c r="D32" s="7" t="s">
        <v>91</v>
      </c>
      <c r="E32" s="24">
        <v>80</v>
      </c>
      <c r="F32" s="25">
        <f t="shared" si="0"/>
        <v>4</v>
      </c>
      <c r="G32" s="26"/>
      <c r="H32" s="26"/>
    </row>
    <row r="33" spans="1:8">
      <c r="A33" s="26"/>
      <c r="B33" s="7">
        <v>50</v>
      </c>
      <c r="C33" s="7"/>
      <c r="D33" s="7" t="s">
        <v>92</v>
      </c>
      <c r="E33" s="24">
        <v>80</v>
      </c>
      <c r="F33" s="25">
        <f t="shared" si="0"/>
        <v>4</v>
      </c>
      <c r="G33" s="26"/>
      <c r="H33" s="26"/>
    </row>
    <row r="34" spans="1:8">
      <c r="A34" s="26"/>
      <c r="B34" s="7">
        <v>50</v>
      </c>
      <c r="C34" s="7"/>
      <c r="D34" s="7" t="s">
        <v>34</v>
      </c>
      <c r="E34" s="24">
        <v>5</v>
      </c>
      <c r="F34" s="25">
        <f t="shared" si="0"/>
        <v>0.25</v>
      </c>
      <c r="G34" s="26"/>
      <c r="H34" s="26"/>
    </row>
    <row r="35" spans="1:8">
      <c r="A35" s="26"/>
      <c r="B35" s="7">
        <v>50</v>
      </c>
      <c r="C35" s="7"/>
      <c r="D35" s="7" t="s">
        <v>35</v>
      </c>
      <c r="E35" s="24">
        <v>30</v>
      </c>
      <c r="F35" s="25">
        <f t="shared" si="0"/>
        <v>1.5</v>
      </c>
      <c r="G35" s="26"/>
      <c r="H35" s="26"/>
    </row>
    <row r="36" spans="1:8">
      <c r="A36" s="26"/>
      <c r="B36" s="7">
        <v>50</v>
      </c>
      <c r="C36" s="7" t="s">
        <v>19</v>
      </c>
      <c r="D36" s="7" t="s">
        <v>19</v>
      </c>
      <c r="E36" s="24">
        <v>50</v>
      </c>
      <c r="F36" s="25">
        <f t="shared" si="0"/>
        <v>2.5</v>
      </c>
      <c r="G36" s="26"/>
      <c r="H36" s="26"/>
    </row>
    <row r="37" spans="1:8">
      <c r="B37" s="1"/>
      <c r="C37" s="1"/>
      <c r="D37" s="1"/>
    </row>
    <row r="38" spans="1:8">
      <c r="B38" s="1"/>
      <c r="C38" s="1"/>
      <c r="D38" s="1"/>
    </row>
    <row r="39" spans="1:8">
      <c r="B39" s="1"/>
      <c r="C39" s="1"/>
      <c r="D39" s="1"/>
    </row>
    <row r="40" spans="1:8">
      <c r="B40" s="1"/>
      <c r="C40" s="1"/>
      <c r="D40" s="1"/>
    </row>
    <row r="41" spans="1:8">
      <c r="B41" s="1"/>
      <c r="C41" s="1"/>
      <c r="D41" s="1"/>
    </row>
    <row r="42" spans="1:8">
      <c r="C42" s="1"/>
      <c r="D42" s="1"/>
    </row>
    <row r="43" spans="1:8">
      <c r="C43" s="1"/>
      <c r="D43" s="1"/>
    </row>
  </sheetData>
  <mergeCells count="30">
    <mergeCell ref="G7:H7"/>
    <mergeCell ref="A1:I2"/>
    <mergeCell ref="G3:H3"/>
    <mergeCell ref="G4:H4"/>
    <mergeCell ref="G5:H5"/>
    <mergeCell ref="G6:H6"/>
    <mergeCell ref="G19:H19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A20" sqref="A20"/>
    </sheetView>
  </sheetViews>
  <sheetFormatPr defaultRowHeight="16.5"/>
  <cols>
    <col min="1" max="1" width="7.875" customWidth="1"/>
    <col min="2" max="2" width="7.25" customWidth="1"/>
    <col min="3" max="3" width="14.7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>
      <c r="A2" s="38"/>
      <c r="B2" s="38"/>
      <c r="C2" s="38"/>
      <c r="D2" s="38"/>
      <c r="E2" s="38"/>
      <c r="F2" s="38"/>
      <c r="G2" s="38"/>
      <c r="H2" s="38"/>
      <c r="I2" s="38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33" t="s">
        <v>8</v>
      </c>
      <c r="H3" s="33"/>
    </row>
    <row r="4" spans="1:9">
      <c r="A4" s="10">
        <v>41656</v>
      </c>
      <c r="B4" s="7">
        <v>50</v>
      </c>
      <c r="C4" s="7" t="s">
        <v>22</v>
      </c>
      <c r="D4" s="7" t="s">
        <v>23</v>
      </c>
      <c r="E4" s="24">
        <v>2</v>
      </c>
      <c r="F4" s="25">
        <f>(B4*E4)/1000</f>
        <v>0.1</v>
      </c>
      <c r="G4" s="33"/>
      <c r="H4" s="33"/>
    </row>
    <row r="5" spans="1:9">
      <c r="A5" s="11" t="s">
        <v>93</v>
      </c>
      <c r="B5" s="7">
        <v>50</v>
      </c>
      <c r="C5" s="7"/>
      <c r="D5" s="7" t="s">
        <v>11</v>
      </c>
      <c r="E5" s="24">
        <v>90</v>
      </c>
      <c r="F5" s="25">
        <f t="shared" ref="F5:F36" si="0">(B5*E5)/1000</f>
        <v>4.5</v>
      </c>
      <c r="G5" s="33"/>
      <c r="H5" s="33"/>
    </row>
    <row r="6" spans="1:9">
      <c r="A6" s="7" t="s">
        <v>10</v>
      </c>
      <c r="B6" s="7">
        <v>50</v>
      </c>
      <c r="C6" s="7" t="s">
        <v>77</v>
      </c>
      <c r="D6" s="7" t="s">
        <v>43</v>
      </c>
      <c r="E6" s="24">
        <v>30</v>
      </c>
      <c r="F6" s="25">
        <f t="shared" si="0"/>
        <v>1.5</v>
      </c>
      <c r="G6" s="33"/>
      <c r="H6" s="33"/>
    </row>
    <row r="7" spans="1:9">
      <c r="A7" s="26"/>
      <c r="B7" s="7">
        <v>50</v>
      </c>
      <c r="C7" s="7"/>
      <c r="D7" s="7" t="s">
        <v>17</v>
      </c>
      <c r="E7" s="24">
        <v>35</v>
      </c>
      <c r="F7" s="25">
        <f t="shared" si="0"/>
        <v>1.75</v>
      </c>
      <c r="G7" s="33"/>
      <c r="H7" s="33"/>
    </row>
    <row r="8" spans="1:9">
      <c r="A8" s="26"/>
      <c r="B8" s="7">
        <v>50</v>
      </c>
      <c r="C8" s="7"/>
      <c r="D8" s="7" t="s">
        <v>16</v>
      </c>
      <c r="E8" s="24">
        <v>2</v>
      </c>
      <c r="F8" s="25">
        <f t="shared" si="0"/>
        <v>0.1</v>
      </c>
      <c r="G8" s="33"/>
      <c r="H8" s="33"/>
    </row>
    <row r="9" spans="1:9">
      <c r="A9" s="26"/>
      <c r="B9" s="7">
        <v>50</v>
      </c>
      <c r="C9" s="7" t="s">
        <v>39</v>
      </c>
      <c r="D9" s="7" t="s">
        <v>78</v>
      </c>
      <c r="E9" s="24">
        <v>20</v>
      </c>
      <c r="F9" s="25">
        <f t="shared" si="0"/>
        <v>1</v>
      </c>
      <c r="G9" s="33"/>
      <c r="H9" s="33"/>
    </row>
    <row r="10" spans="1:9">
      <c r="A10" s="26"/>
      <c r="B10" s="7">
        <v>50</v>
      </c>
      <c r="C10" s="7"/>
      <c r="D10" s="7" t="s">
        <v>48</v>
      </c>
      <c r="E10" s="24">
        <v>30</v>
      </c>
      <c r="F10" s="25">
        <f t="shared" si="0"/>
        <v>1.5</v>
      </c>
      <c r="G10" s="33"/>
      <c r="H10" s="33"/>
    </row>
    <row r="11" spans="1:9">
      <c r="A11" s="26"/>
      <c r="B11" s="7">
        <v>50</v>
      </c>
      <c r="C11" s="7"/>
      <c r="D11" s="7" t="s">
        <v>41</v>
      </c>
      <c r="E11" s="24">
        <v>20</v>
      </c>
      <c r="F11" s="25">
        <f t="shared" si="0"/>
        <v>1</v>
      </c>
      <c r="G11" s="33"/>
      <c r="H11" s="33"/>
    </row>
    <row r="12" spans="1:9">
      <c r="A12" s="26"/>
      <c r="B12" s="7">
        <v>50</v>
      </c>
      <c r="C12" s="7"/>
      <c r="D12" s="7" t="s">
        <v>39</v>
      </c>
      <c r="E12" s="24">
        <v>200</v>
      </c>
      <c r="F12" s="25">
        <f t="shared" si="0"/>
        <v>10</v>
      </c>
      <c r="G12" s="33"/>
      <c r="H12" s="33"/>
    </row>
    <row r="13" spans="1:9">
      <c r="A13" s="26"/>
      <c r="B13" s="7">
        <v>50</v>
      </c>
      <c r="C13" s="7"/>
      <c r="D13" s="7" t="s">
        <v>15</v>
      </c>
      <c r="E13" s="24">
        <v>25</v>
      </c>
      <c r="F13" s="25">
        <f t="shared" si="0"/>
        <v>1.25</v>
      </c>
      <c r="G13" s="33"/>
      <c r="H13" s="33"/>
    </row>
    <row r="14" spans="1:9">
      <c r="A14" s="26"/>
      <c r="B14" s="7">
        <v>50</v>
      </c>
      <c r="C14" s="7"/>
      <c r="D14" s="7" t="s">
        <v>16</v>
      </c>
      <c r="E14" s="24">
        <v>2</v>
      </c>
      <c r="F14" s="25">
        <f t="shared" si="0"/>
        <v>0.1</v>
      </c>
      <c r="G14" s="33"/>
      <c r="H14" s="33"/>
    </row>
    <row r="15" spans="1:9">
      <c r="A15" s="26"/>
      <c r="B15" s="7">
        <v>50</v>
      </c>
      <c r="C15" s="7" t="s">
        <v>79</v>
      </c>
      <c r="D15" s="7" t="s">
        <v>80</v>
      </c>
      <c r="E15" s="24">
        <v>70</v>
      </c>
      <c r="F15" s="25">
        <f t="shared" si="0"/>
        <v>3.5</v>
      </c>
      <c r="G15" s="33"/>
      <c r="H15" s="33"/>
      <c r="I15" s="4"/>
    </row>
    <row r="16" spans="1:9">
      <c r="A16" s="26"/>
      <c r="B16" s="7">
        <v>50</v>
      </c>
      <c r="C16" s="7"/>
      <c r="D16" s="7" t="s">
        <v>18</v>
      </c>
      <c r="E16" s="24">
        <v>10</v>
      </c>
      <c r="F16" s="25">
        <f t="shared" si="0"/>
        <v>0.5</v>
      </c>
      <c r="G16" s="33"/>
      <c r="H16" s="33"/>
    </row>
    <row r="17" spans="1:8">
      <c r="A17" s="26"/>
      <c r="B17" s="7"/>
      <c r="C17" s="7"/>
      <c r="D17" s="7"/>
      <c r="E17" s="24"/>
      <c r="F17" s="25"/>
      <c r="G17" s="33"/>
      <c r="H17" s="33"/>
    </row>
    <row r="18" spans="1:8">
      <c r="A18" s="27"/>
      <c r="B18" s="12"/>
      <c r="C18" s="12"/>
      <c r="D18" s="12"/>
      <c r="E18" s="28"/>
      <c r="F18" s="29"/>
      <c r="G18" s="35"/>
      <c r="H18" s="35"/>
    </row>
    <row r="19" spans="1:8">
      <c r="A19" s="10">
        <v>41656</v>
      </c>
      <c r="B19" s="7">
        <v>50</v>
      </c>
      <c r="C19" s="7" t="s">
        <v>81</v>
      </c>
      <c r="D19" s="7" t="s">
        <v>7</v>
      </c>
      <c r="E19" s="24">
        <v>2</v>
      </c>
      <c r="F19" s="25">
        <f t="shared" si="0"/>
        <v>0.1</v>
      </c>
      <c r="G19" s="33"/>
      <c r="H19" s="33"/>
    </row>
    <row r="20" spans="1:8">
      <c r="A20" s="7" t="s">
        <v>94</v>
      </c>
      <c r="B20" s="7">
        <v>50</v>
      </c>
      <c r="C20" s="7"/>
      <c r="D20" s="7" t="s">
        <v>11</v>
      </c>
      <c r="E20" s="24">
        <v>90</v>
      </c>
      <c r="F20" s="25">
        <f t="shared" si="0"/>
        <v>4.5</v>
      </c>
      <c r="G20" s="33"/>
      <c r="H20" s="33"/>
    </row>
    <row r="21" spans="1:8">
      <c r="A21" s="7" t="s">
        <v>71</v>
      </c>
      <c r="B21" s="7">
        <v>50</v>
      </c>
      <c r="C21" s="7" t="s">
        <v>82</v>
      </c>
      <c r="D21" s="8" t="s">
        <v>83</v>
      </c>
      <c r="E21" s="24">
        <v>5</v>
      </c>
      <c r="F21" s="25">
        <f t="shared" si="0"/>
        <v>0.25</v>
      </c>
      <c r="G21" s="33"/>
      <c r="H21" s="33"/>
    </row>
    <row r="22" spans="1:8">
      <c r="A22" s="26"/>
      <c r="B22" s="7">
        <v>50</v>
      </c>
      <c r="C22" s="7"/>
      <c r="D22" s="7" t="s">
        <v>84</v>
      </c>
      <c r="E22" s="24">
        <v>35</v>
      </c>
      <c r="F22" s="25">
        <f t="shared" si="0"/>
        <v>1.75</v>
      </c>
      <c r="G22" s="33"/>
      <c r="H22" s="33"/>
    </row>
    <row r="23" spans="1:8">
      <c r="A23" s="26"/>
      <c r="B23" s="7">
        <v>50</v>
      </c>
      <c r="C23" s="7"/>
      <c r="D23" s="7" t="s">
        <v>66</v>
      </c>
      <c r="E23" s="24">
        <v>30</v>
      </c>
      <c r="F23" s="25">
        <f t="shared" si="0"/>
        <v>1.5</v>
      </c>
      <c r="G23" s="33"/>
      <c r="H23" s="33"/>
    </row>
    <row r="24" spans="1:8">
      <c r="A24" s="26"/>
      <c r="B24" s="7">
        <v>50</v>
      </c>
      <c r="C24" s="7" t="s">
        <v>85</v>
      </c>
      <c r="D24" s="7" t="s">
        <v>85</v>
      </c>
      <c r="E24" s="24"/>
      <c r="F24" s="30"/>
      <c r="G24" s="33"/>
      <c r="H24" s="33"/>
    </row>
    <row r="25" spans="1:8">
      <c r="A25" s="26"/>
      <c r="B25" s="7">
        <v>50</v>
      </c>
      <c r="C25" s="7" t="s">
        <v>86</v>
      </c>
      <c r="D25" s="7" t="s">
        <v>87</v>
      </c>
      <c r="E25" s="24">
        <v>100</v>
      </c>
      <c r="F25" s="25">
        <f t="shared" si="0"/>
        <v>5</v>
      </c>
      <c r="G25" s="33"/>
      <c r="H25" s="33"/>
    </row>
    <row r="26" spans="1:8">
      <c r="A26" s="26"/>
      <c r="B26" s="7">
        <v>50</v>
      </c>
      <c r="C26" s="7"/>
      <c r="D26" s="7" t="s">
        <v>48</v>
      </c>
      <c r="E26" s="24">
        <v>30</v>
      </c>
      <c r="F26" s="25">
        <f t="shared" si="0"/>
        <v>1.5</v>
      </c>
      <c r="G26" s="33"/>
      <c r="H26" s="33"/>
    </row>
    <row r="27" spans="1:8">
      <c r="A27" s="26"/>
      <c r="B27" s="7">
        <v>50</v>
      </c>
      <c r="C27" s="7"/>
      <c r="D27" s="7" t="s">
        <v>88</v>
      </c>
      <c r="E27" s="24">
        <v>20</v>
      </c>
      <c r="F27" s="25">
        <f t="shared" si="0"/>
        <v>1</v>
      </c>
      <c r="G27" s="33"/>
      <c r="H27" s="33"/>
    </row>
    <row r="28" spans="1:8">
      <c r="A28" s="26"/>
      <c r="B28" s="7">
        <v>50</v>
      </c>
      <c r="C28" s="7"/>
      <c r="D28" s="7" t="s">
        <v>15</v>
      </c>
      <c r="E28" s="24">
        <v>20</v>
      </c>
      <c r="F28" s="25">
        <f t="shared" si="0"/>
        <v>1</v>
      </c>
      <c r="G28" s="33"/>
      <c r="H28" s="33"/>
    </row>
    <row r="29" spans="1:8">
      <c r="A29" s="26"/>
      <c r="B29" s="7">
        <v>50</v>
      </c>
      <c r="C29" s="7"/>
      <c r="D29" s="7" t="s">
        <v>18</v>
      </c>
      <c r="E29" s="24">
        <v>5</v>
      </c>
      <c r="F29" s="25">
        <f t="shared" si="0"/>
        <v>0.25</v>
      </c>
      <c r="G29" s="33"/>
      <c r="H29" s="33"/>
    </row>
    <row r="30" spans="1:8">
      <c r="A30" s="26"/>
      <c r="B30" s="7">
        <v>50</v>
      </c>
      <c r="C30" s="7"/>
      <c r="D30" s="7" t="s">
        <v>89</v>
      </c>
      <c r="E30" s="24">
        <v>5</v>
      </c>
      <c r="F30" s="25">
        <f t="shared" si="0"/>
        <v>0.25</v>
      </c>
      <c r="G30" s="33"/>
      <c r="H30" s="33"/>
    </row>
    <row r="31" spans="1:8">
      <c r="A31" s="26"/>
      <c r="B31" s="7">
        <v>50</v>
      </c>
      <c r="C31" s="7"/>
      <c r="D31" s="7" t="s">
        <v>16</v>
      </c>
      <c r="E31" s="24">
        <v>2</v>
      </c>
      <c r="F31" s="25">
        <f t="shared" si="0"/>
        <v>0.1</v>
      </c>
      <c r="G31" s="33"/>
      <c r="H31" s="33"/>
    </row>
    <row r="32" spans="1:8">
      <c r="A32" s="26"/>
      <c r="B32" s="7">
        <v>50</v>
      </c>
      <c r="C32" s="7" t="s">
        <v>90</v>
      </c>
      <c r="D32" s="7" t="s">
        <v>91</v>
      </c>
      <c r="E32" s="24">
        <v>80</v>
      </c>
      <c r="F32" s="25">
        <f t="shared" si="0"/>
        <v>4</v>
      </c>
      <c r="G32" s="26"/>
      <c r="H32" s="26"/>
    </row>
    <row r="33" spans="1:8">
      <c r="A33" s="26"/>
      <c r="B33" s="7">
        <v>50</v>
      </c>
      <c r="C33" s="7"/>
      <c r="D33" s="7" t="s">
        <v>92</v>
      </c>
      <c r="E33" s="24">
        <v>80</v>
      </c>
      <c r="F33" s="25">
        <f t="shared" si="0"/>
        <v>4</v>
      </c>
      <c r="G33" s="26"/>
      <c r="H33" s="26"/>
    </row>
    <row r="34" spans="1:8">
      <c r="A34" s="26"/>
      <c r="B34" s="7">
        <v>50</v>
      </c>
      <c r="C34" s="7"/>
      <c r="D34" s="7" t="s">
        <v>34</v>
      </c>
      <c r="E34" s="24">
        <v>5</v>
      </c>
      <c r="F34" s="25">
        <f t="shared" si="0"/>
        <v>0.25</v>
      </c>
      <c r="G34" s="26"/>
      <c r="H34" s="26"/>
    </row>
    <row r="35" spans="1:8">
      <c r="A35" s="26"/>
      <c r="B35" s="7">
        <v>50</v>
      </c>
      <c r="C35" s="7"/>
      <c r="D35" s="7" t="s">
        <v>35</v>
      </c>
      <c r="E35" s="24">
        <v>30</v>
      </c>
      <c r="F35" s="25">
        <f t="shared" si="0"/>
        <v>1.5</v>
      </c>
      <c r="G35" s="26"/>
      <c r="H35" s="26"/>
    </row>
    <row r="36" spans="1:8">
      <c r="A36" s="26"/>
      <c r="B36" s="7">
        <v>50</v>
      </c>
      <c r="C36" s="7" t="s">
        <v>19</v>
      </c>
      <c r="D36" s="7" t="s">
        <v>19</v>
      </c>
      <c r="E36" s="24">
        <v>50</v>
      </c>
      <c r="F36" s="25">
        <f t="shared" si="0"/>
        <v>2.5</v>
      </c>
      <c r="G36" s="26"/>
      <c r="H36" s="26"/>
    </row>
    <row r="37" spans="1:8">
      <c r="B37" s="1"/>
      <c r="C37" s="1"/>
      <c r="D37" s="1"/>
    </row>
    <row r="38" spans="1:8">
      <c r="B38" s="1"/>
      <c r="C38" s="1"/>
      <c r="D38" s="1"/>
    </row>
    <row r="39" spans="1:8">
      <c r="B39" s="1"/>
      <c r="C39" s="1"/>
      <c r="D39" s="1"/>
    </row>
    <row r="40" spans="1:8">
      <c r="B40" s="1"/>
      <c r="C40" s="1"/>
      <c r="D40" s="1"/>
    </row>
    <row r="41" spans="1:8">
      <c r="B41" s="1"/>
      <c r="C41" s="1"/>
      <c r="D41" s="1"/>
    </row>
    <row r="42" spans="1:8">
      <c r="C42" s="1"/>
      <c r="D42" s="1"/>
    </row>
    <row r="43" spans="1:8">
      <c r="C43" s="1"/>
      <c r="D43" s="1"/>
    </row>
  </sheetData>
  <mergeCells count="30">
    <mergeCell ref="G7:H7"/>
    <mergeCell ref="A1:I2"/>
    <mergeCell ref="G3:H3"/>
    <mergeCell ref="G4:H4"/>
    <mergeCell ref="G5:H5"/>
    <mergeCell ref="G6:H6"/>
    <mergeCell ref="G19:H19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월</vt:lpstr>
      <vt:lpstr>화</vt:lpstr>
      <vt:lpstr>수</vt:lpstr>
      <vt:lpstr>목</vt:lpstr>
      <vt:lpstr>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2014-01-07T14:23:10Z</cp:lastPrinted>
  <dcterms:created xsi:type="dcterms:W3CDTF">2014-01-07T10:53:54Z</dcterms:created>
  <dcterms:modified xsi:type="dcterms:W3CDTF">2014-01-15T06:54:45Z</dcterms:modified>
</cp:coreProperties>
</file>