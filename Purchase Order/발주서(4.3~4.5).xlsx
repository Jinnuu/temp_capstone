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9395" windowHeight="11760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금!$A$2:$G$37</definedName>
    <definedName name="_xlnm._FilterDatabase" localSheetId="0" hidden="1">목!$A$2:$G$43</definedName>
    <definedName name="_xlnm._FilterDatabase" localSheetId="2" hidden="1">토!$A$2:$G$39</definedName>
    <definedName name="_xlnm._FilterDatabase" localSheetId="3" hidden="1">'토 (2)'!$A$2:$G$39</definedName>
  </definedNames>
  <calcPr calcId="145621"/>
</workbook>
</file>

<file path=xl/calcChain.xml><?xml version="1.0" encoding="utf-8"?>
<calcChain xmlns="http://schemas.openxmlformats.org/spreadsheetml/2006/main">
  <c r="F14" i="6" l="1"/>
  <c r="F13" i="6"/>
  <c r="F12" i="6"/>
  <c r="F11" i="6"/>
  <c r="F10" i="6"/>
  <c r="F9" i="6"/>
  <c r="F8" i="6"/>
  <c r="F7" i="6"/>
  <c r="F6" i="6"/>
  <c r="F5" i="6"/>
  <c r="F4" i="6"/>
  <c r="F3" i="6"/>
  <c r="F39" i="5"/>
  <c r="F38" i="5"/>
  <c r="F21" i="5"/>
  <c r="F19" i="5"/>
  <c r="F14" i="5"/>
  <c r="F37" i="5"/>
  <c r="F36" i="5"/>
  <c r="F35" i="5"/>
  <c r="F34" i="5"/>
  <c r="F33" i="5"/>
  <c r="F32" i="5"/>
  <c r="F31" i="5"/>
  <c r="F30" i="5"/>
  <c r="F29" i="5"/>
  <c r="F28" i="5"/>
  <c r="F27" i="5"/>
  <c r="F25" i="5"/>
  <c r="F24" i="5"/>
  <c r="F23" i="5"/>
  <c r="F22" i="5"/>
  <c r="F20" i="5"/>
  <c r="F13" i="5"/>
  <c r="F12" i="5"/>
  <c r="F11" i="5"/>
  <c r="F10" i="5"/>
  <c r="F9" i="5"/>
  <c r="F8" i="5"/>
  <c r="F7" i="5"/>
  <c r="F6" i="5"/>
  <c r="F5" i="5"/>
  <c r="F4" i="5"/>
  <c r="F3" i="5"/>
  <c r="F19" i="4"/>
  <c r="F10" i="4"/>
  <c r="F37" i="4"/>
  <c r="F36" i="4"/>
  <c r="F35" i="4"/>
  <c r="F34" i="4"/>
  <c r="F33" i="4"/>
  <c r="F32" i="4"/>
  <c r="F31" i="4"/>
  <c r="F30" i="4"/>
  <c r="F29" i="4"/>
  <c r="F28" i="4"/>
  <c r="F27" i="4"/>
  <c r="F26" i="4"/>
  <c r="F24" i="4"/>
  <c r="F23" i="4"/>
  <c r="F22" i="4"/>
  <c r="F21" i="4"/>
  <c r="F20" i="4"/>
  <c r="F18" i="4"/>
  <c r="F17" i="4"/>
  <c r="F16" i="4"/>
  <c r="F15" i="4"/>
  <c r="F14" i="4"/>
  <c r="F12" i="4"/>
  <c r="F11" i="4"/>
  <c r="F9" i="4"/>
  <c r="F8" i="4"/>
  <c r="F7" i="4"/>
  <c r="F6" i="4"/>
  <c r="F5" i="4"/>
  <c r="F4" i="4"/>
  <c r="F3" i="4"/>
  <c r="F43" i="1"/>
  <c r="F37" i="1"/>
  <c r="F36" i="1"/>
  <c r="F32" i="1"/>
  <c r="F33" i="1"/>
  <c r="F34" i="1"/>
  <c r="F35" i="1"/>
  <c r="F38" i="1"/>
  <c r="F39" i="1"/>
  <c r="F40" i="1"/>
  <c r="F41" i="1"/>
  <c r="F42" i="1"/>
  <c r="F29" i="1"/>
  <c r="F30" i="1"/>
  <c r="F28" i="1"/>
  <c r="F27" i="1"/>
  <c r="F26" i="1"/>
  <c r="F25" i="1"/>
  <c r="F24" i="1"/>
  <c r="F20" i="1"/>
  <c r="F21" i="1"/>
  <c r="F22" i="1"/>
  <c r="F23" i="1"/>
  <c r="F18" i="1"/>
  <c r="F19" i="1"/>
  <c r="F17" i="1"/>
  <c r="F14" i="1"/>
  <c r="F13" i="1"/>
  <c r="F12" i="1"/>
  <c r="F11" i="1"/>
  <c r="F10" i="1"/>
  <c r="F9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<sst xmlns="http://schemas.openxmlformats.org/spreadsheetml/2006/main" count="244" uniqueCount="155">
  <si>
    <t>4/3 (목) 발주서</t>
    <phoneticPr fontId="1" type="noConversion"/>
  </si>
  <si>
    <t>날짜</t>
    <phoneticPr fontId="1" type="noConversion"/>
  </si>
  <si>
    <t>예상식수</t>
    <phoneticPr fontId="1" type="noConversion"/>
  </si>
  <si>
    <t>메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</si>
  <si>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</si>
  <si>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</si>
  <si>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</si>
  <si>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</si>
  <si>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석식</t>
    <phoneticPr fontId="1" type="noConversion"/>
  </si>
  <si>
    <t>목</t>
    <phoneticPr fontId="1" type="noConversion"/>
  </si>
  <si>
    <t>보리밥</t>
    <phoneticPr fontId="1" type="noConversion"/>
  </si>
  <si>
    <t>보리</t>
    <phoneticPr fontId="1" type="noConversion"/>
  </si>
  <si>
    <t>등뼈감자탕</t>
    <phoneticPr fontId="1" type="noConversion"/>
  </si>
  <si>
    <t>돈육등뼈</t>
    <phoneticPr fontId="1" type="noConversion"/>
  </si>
  <si>
    <t>(대접)</t>
    <phoneticPr fontId="1" type="noConversion"/>
  </si>
  <si>
    <t>맛김치</t>
    <phoneticPr fontId="1" type="noConversion"/>
  </si>
  <si>
    <t>감자</t>
    <phoneticPr fontId="1" type="noConversion"/>
  </si>
  <si>
    <t>깻잎순</t>
    <phoneticPr fontId="1" type="noConversion"/>
  </si>
  <si>
    <t>들깨가루</t>
    <phoneticPr fontId="1" type="noConversion"/>
  </si>
  <si>
    <t>대파</t>
    <phoneticPr fontId="1" type="noConversion"/>
  </si>
  <si>
    <t>떡갈비구이</t>
    <phoneticPr fontId="1" type="noConversion"/>
  </si>
  <si>
    <t>남도떡갈비</t>
    <phoneticPr fontId="1" type="noConversion"/>
  </si>
  <si>
    <t>빨강파프리카</t>
    <phoneticPr fontId="1" type="noConversion"/>
  </si>
  <si>
    <t>노랑파프리카</t>
    <phoneticPr fontId="1" type="noConversion"/>
  </si>
  <si>
    <t>양파</t>
    <phoneticPr fontId="1" type="noConversion"/>
  </si>
  <si>
    <t>마늘데리야끼소스</t>
    <phoneticPr fontId="1" type="noConversion"/>
  </si>
  <si>
    <t>깍두기</t>
    <phoneticPr fontId="1" type="noConversion"/>
  </si>
  <si>
    <t>상큼한능금쥬스</t>
    <phoneticPr fontId="1" type="noConversion"/>
  </si>
  <si>
    <t>능금쥬스</t>
    <phoneticPr fontId="1" type="noConversion"/>
  </si>
  <si>
    <t>520개</t>
    <phoneticPr fontId="1" type="noConversion"/>
  </si>
  <si>
    <t>cj에서 무료</t>
    <phoneticPr fontId="1" type="noConversion"/>
  </si>
  <si>
    <t>금</t>
    <phoneticPr fontId="1" type="noConversion"/>
  </si>
  <si>
    <t>조식</t>
    <phoneticPr fontId="1" type="noConversion"/>
  </si>
  <si>
    <t>배추된장국</t>
    <phoneticPr fontId="1" type="noConversion"/>
  </si>
  <si>
    <t>통배추</t>
    <phoneticPr fontId="1" type="noConversion"/>
  </si>
  <si>
    <t>주꾸미야채무침</t>
    <phoneticPr fontId="1" type="noConversion"/>
  </si>
  <si>
    <t>양배추</t>
    <phoneticPr fontId="1" type="noConversion"/>
  </si>
  <si>
    <t>당근</t>
    <phoneticPr fontId="1" type="noConversion"/>
  </si>
  <si>
    <t>깻잎</t>
    <phoneticPr fontId="1" type="noConversion"/>
  </si>
  <si>
    <t>홍고추</t>
    <phoneticPr fontId="1" type="noConversion"/>
  </si>
  <si>
    <t>탕평채</t>
    <phoneticPr fontId="1" type="noConversion"/>
  </si>
  <si>
    <t>동부묵</t>
    <phoneticPr fontId="1" type="noConversion"/>
  </si>
  <si>
    <t>숙주</t>
    <phoneticPr fontId="1" type="noConversion"/>
  </si>
  <si>
    <t>우육채</t>
    <phoneticPr fontId="1" type="noConversion"/>
  </si>
  <si>
    <t>미나리</t>
    <phoneticPr fontId="1" type="noConversion"/>
  </si>
  <si>
    <t>김가루</t>
    <phoneticPr fontId="1" type="noConversion"/>
  </si>
  <si>
    <t>열무김치</t>
    <phoneticPr fontId="1" type="noConversion"/>
  </si>
  <si>
    <t>중식</t>
    <phoneticPr fontId="1" type="noConversion"/>
  </si>
  <si>
    <t>봄나물비빔밥</t>
    <phoneticPr fontId="1" type="noConversion"/>
  </si>
  <si>
    <t>참나물</t>
    <phoneticPr fontId="1" type="noConversion"/>
  </si>
  <si>
    <t>콩나물</t>
    <phoneticPr fontId="1" type="noConversion"/>
  </si>
  <si>
    <t>돈나물</t>
    <phoneticPr fontId="1" type="noConversion"/>
  </si>
  <si>
    <t>새싹</t>
    <phoneticPr fontId="1" type="noConversion"/>
  </si>
  <si>
    <t>약고추장</t>
    <phoneticPr fontId="1" type="noConversion"/>
  </si>
  <si>
    <t>우민찌</t>
    <phoneticPr fontId="1" type="noConversion"/>
  </si>
  <si>
    <t>계란후라이</t>
    <phoneticPr fontId="1" type="noConversion"/>
  </si>
  <si>
    <t>팽이미소국</t>
    <phoneticPr fontId="1" type="noConversion"/>
  </si>
  <si>
    <t>팽이</t>
    <phoneticPr fontId="1" type="noConversion"/>
  </si>
  <si>
    <t>코코넛새우튀김</t>
    <phoneticPr fontId="1" type="noConversion"/>
  </si>
  <si>
    <t>코코넛새우</t>
    <phoneticPr fontId="1" type="noConversion"/>
  </si>
  <si>
    <t>식용유</t>
    <phoneticPr fontId="1" type="noConversion"/>
  </si>
  <si>
    <t>대파적당량</t>
    <phoneticPr fontId="1" type="noConversion"/>
  </si>
  <si>
    <t>배추김치</t>
    <phoneticPr fontId="1" type="noConversion"/>
  </si>
  <si>
    <t>4/4 (금) 발주서</t>
    <phoneticPr fontId="1" type="noConversion"/>
  </si>
  <si>
    <t>서리태밥</t>
    <phoneticPr fontId="1" type="noConversion"/>
  </si>
  <si>
    <t>서리태</t>
    <phoneticPr fontId="1" type="noConversion"/>
  </si>
  <si>
    <t>닭개장</t>
    <phoneticPr fontId="1" type="noConversion"/>
  </si>
  <si>
    <t>통닭</t>
    <phoneticPr fontId="1" type="noConversion"/>
  </si>
  <si>
    <t>고사리</t>
    <phoneticPr fontId="1" type="noConversion"/>
  </si>
  <si>
    <t>무</t>
    <phoneticPr fontId="1" type="noConversion"/>
  </si>
  <si>
    <t>임연수구이</t>
    <phoneticPr fontId="1" type="noConversion"/>
  </si>
  <si>
    <t>임연수</t>
    <phoneticPr fontId="1" type="noConversion"/>
  </si>
  <si>
    <t>오이무침</t>
    <phoneticPr fontId="1" type="noConversion"/>
  </si>
  <si>
    <t>오이</t>
    <phoneticPr fontId="1" type="noConversion"/>
  </si>
  <si>
    <t>토</t>
    <phoneticPr fontId="1" type="noConversion"/>
  </si>
  <si>
    <t>홍합탕</t>
    <phoneticPr fontId="1" type="noConversion"/>
  </si>
  <si>
    <t>홍합</t>
    <phoneticPr fontId="1" type="noConversion"/>
  </si>
  <si>
    <t>옛날소세지전/케첩</t>
    <phoneticPr fontId="1" type="noConversion"/>
  </si>
  <si>
    <t>소시지</t>
    <phoneticPr fontId="1" type="noConversion"/>
  </si>
  <si>
    <t>계란</t>
    <phoneticPr fontId="1" type="noConversion"/>
  </si>
  <si>
    <t>2판</t>
    <phoneticPr fontId="1" type="noConversion"/>
  </si>
  <si>
    <t>어묵볶음</t>
    <phoneticPr fontId="1" type="noConversion"/>
  </si>
  <si>
    <t>볼어묵</t>
    <phoneticPr fontId="1" type="noConversion"/>
  </si>
  <si>
    <t>빨갛게 하세요!!</t>
    <phoneticPr fontId="1" type="noConversion"/>
  </si>
  <si>
    <t>기장밥</t>
    <phoneticPr fontId="1" type="noConversion"/>
  </si>
  <si>
    <t>기장</t>
    <phoneticPr fontId="1" type="noConversion"/>
  </si>
  <si>
    <t>사골우거지국</t>
    <phoneticPr fontId="1" type="noConversion"/>
  </si>
  <si>
    <t>사골가루</t>
    <phoneticPr fontId="1" type="noConversion"/>
  </si>
  <si>
    <t>우국거리</t>
    <phoneticPr fontId="1" type="noConversion"/>
  </si>
  <si>
    <t>얼갈이</t>
    <phoneticPr fontId="1" type="noConversion"/>
  </si>
  <si>
    <t>모듬장조림</t>
    <phoneticPr fontId="1" type="noConversion"/>
  </si>
  <si>
    <t>메추리알</t>
    <phoneticPr fontId="1" type="noConversion"/>
  </si>
  <si>
    <t>곤약</t>
    <phoneticPr fontId="1" type="noConversion"/>
  </si>
  <si>
    <t>새송이버섯볶음</t>
    <phoneticPr fontId="1" type="noConversion"/>
  </si>
  <si>
    <t>새송이버섯</t>
    <phoneticPr fontId="1" type="noConversion"/>
  </si>
  <si>
    <t>깍두기</t>
    <phoneticPr fontId="1" type="noConversion"/>
  </si>
  <si>
    <t>잘게 썰어서계란물에풀기</t>
    <phoneticPr fontId="1" type="noConversion"/>
  </si>
  <si>
    <t>4/5 (토) 발주서</t>
    <phoneticPr fontId="1" type="noConversion"/>
  </si>
  <si>
    <t>자장덮밥</t>
    <phoneticPr fontId="1" type="noConversion"/>
  </si>
  <si>
    <t>자장가루</t>
    <phoneticPr fontId="1" type="noConversion"/>
  </si>
  <si>
    <t>돈육자장용</t>
    <phoneticPr fontId="1" type="noConversion"/>
  </si>
  <si>
    <t>호박</t>
    <phoneticPr fontId="1" type="noConversion"/>
  </si>
  <si>
    <t>달걀국</t>
    <phoneticPr fontId="1" type="noConversion"/>
  </si>
  <si>
    <t>달걀</t>
    <phoneticPr fontId="1" type="noConversion"/>
  </si>
  <si>
    <t>오징어땅콩링</t>
    <phoneticPr fontId="1" type="noConversion"/>
  </si>
  <si>
    <t>단무지무침</t>
    <phoneticPr fontId="1" type="noConversion"/>
  </si>
  <si>
    <t>단무지</t>
    <phoneticPr fontId="1" type="noConversion"/>
  </si>
  <si>
    <t>화인쿨</t>
    <phoneticPr fontId="1" type="noConversion"/>
  </si>
  <si>
    <t>250개</t>
    <phoneticPr fontId="1" type="noConversion"/>
  </si>
  <si>
    <t>모자라면 재고사용</t>
    <phoneticPr fontId="1" type="noConversion"/>
  </si>
  <si>
    <t>일</t>
    <phoneticPr fontId="1" type="noConversion"/>
  </si>
  <si>
    <t>시몬케잌</t>
    <phoneticPr fontId="1" type="noConversion"/>
  </si>
  <si>
    <t>우유</t>
    <phoneticPr fontId="1" type="noConversion"/>
  </si>
  <si>
    <t>200개</t>
    <phoneticPr fontId="1" type="noConversion"/>
  </si>
  <si>
    <t>콘플레이크</t>
    <phoneticPr fontId="1" type="noConversion"/>
  </si>
  <si>
    <t>훈제오리샐러드</t>
    <phoneticPr fontId="1" type="noConversion"/>
  </si>
  <si>
    <t>훈제오리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</si>
  <si>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</si>
  <si>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</si>
  <si>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</si>
  <si>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</si>
  <si>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바나나</t>
    <phoneticPr fontId="1" type="noConversion"/>
  </si>
  <si>
    <t>2박스</t>
    <phoneticPr fontId="1" type="noConversion"/>
  </si>
  <si>
    <t>흑미밥</t>
    <phoneticPr fontId="1" type="noConversion"/>
  </si>
  <si>
    <t>흑미</t>
    <phoneticPr fontId="1" type="noConversion"/>
  </si>
  <si>
    <t>쇠고기무국</t>
    <phoneticPr fontId="1" type="noConversion"/>
  </si>
  <si>
    <t>쇠고기</t>
    <phoneticPr fontId="1" type="noConversion"/>
  </si>
  <si>
    <t>꽁치구이</t>
    <phoneticPr fontId="1" type="noConversion"/>
  </si>
  <si>
    <t>꽁치</t>
    <phoneticPr fontId="1" type="noConversion"/>
  </si>
  <si>
    <t>와사비간장</t>
    <phoneticPr fontId="1" type="noConversion"/>
  </si>
  <si>
    <t>순대볶음</t>
    <phoneticPr fontId="1" type="noConversion"/>
  </si>
  <si>
    <t>순대</t>
    <phoneticPr fontId="1" type="noConversion"/>
  </si>
  <si>
    <t>제육덮밥</t>
    <phoneticPr fontId="1" type="noConversion"/>
  </si>
  <si>
    <t>돈육불고기</t>
    <phoneticPr fontId="1" type="noConversion"/>
  </si>
  <si>
    <t>재고없으면 생략</t>
    <phoneticPr fontId="1" type="noConversion"/>
  </si>
  <si>
    <t>얼갈이국</t>
    <phoneticPr fontId="1" type="noConversion"/>
  </si>
  <si>
    <t>다꼬야끼/소스</t>
    <phoneticPr fontId="1" type="noConversion"/>
  </si>
  <si>
    <t>다꼬야끼</t>
    <phoneticPr fontId="1" type="noConversion"/>
  </si>
  <si>
    <t>마요네즈</t>
    <phoneticPr fontId="1" type="noConversion"/>
  </si>
  <si>
    <t>데리야끼소스</t>
    <phoneticPr fontId="1" type="noConversion"/>
  </si>
  <si>
    <t>가스오부시</t>
    <phoneticPr fontId="1" type="noConversion"/>
  </si>
  <si>
    <t>요구르트</t>
    <phoneticPr fontId="1" type="noConversion"/>
  </si>
  <si>
    <t>350개</t>
    <phoneticPr fontId="1" type="noConversion"/>
  </si>
  <si>
    <t>락교크리미드레싱</t>
    <phoneticPr fontId="1" type="noConversion"/>
  </si>
  <si>
    <t>크리미드레싱</t>
    <phoneticPr fontId="1" type="noConversion"/>
  </si>
  <si>
    <t>타르타르소스</t>
    <phoneticPr fontId="1" type="noConversion"/>
  </si>
  <si>
    <t>타르타르소스</t>
    <phoneticPr fontId="1" type="noConversion"/>
  </si>
  <si>
    <t>2팩</t>
    <phoneticPr fontId="1" type="noConversion"/>
  </si>
  <si>
    <t>달걀</t>
    <phoneticPr fontId="1" type="noConversion"/>
  </si>
  <si>
    <t>1판</t>
    <phoneticPr fontId="1" type="noConversion"/>
  </si>
  <si>
    <t>돈육장조림</t>
    <phoneticPr fontId="1" type="noConversion"/>
  </si>
  <si>
    <t>20봉</t>
    <phoneticPr fontId="1" type="noConversion"/>
  </si>
  <si>
    <t>2봉</t>
    <phoneticPr fontId="1" type="noConversion"/>
  </si>
  <si>
    <t>4/5(토) 발주서</t>
    <phoneticPr fontId="1" type="noConversion"/>
  </si>
  <si>
    <t>주꾸미채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</si>
</sst>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/&quot;d;@"/>
    <numFmt numFmtId="177" formatCode="General\ &quot;g&quot;"/>
    <numFmt numFmtId="178" formatCode="General\ &quot;kg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D19" sqref="D19"/>
    </sheetView>
  </sheetViews>
  <sheetFormatPr defaultRowHeight="16.5" x14ac:dyDescent="0.3"/>
  <cols>
    <col min="1" max="2" width="6.625" customWidth="1"/>
    <col min="3" max="3" width="13.5" customWidth="1"/>
    <col min="4" max="4" width="15.375" customWidth="1"/>
    <col min="5" max="6" width="8.25" customWidth="1"/>
    <col min="7" max="7" width="18.625" customWidth="1"/>
    <col min="8" max="8" width="9" hidden="1" customWidth="1"/>
  </cols>
  <sheetData>
    <row r="1" spans="1:9" ht="28.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1"/>
    </row>
    <row r="3" spans="1:9" x14ac:dyDescent="0.3">
      <c r="A3" s="3">
        <v>41732</v>
      </c>
      <c r="B3" s="2">
        <v>400</v>
      </c>
      <c r="C3" s="2" t="s">
        <v>10</v>
      </c>
      <c r="D3" s="2" t="s">
        <v>11</v>
      </c>
      <c r="E3" s="4">
        <v>2</v>
      </c>
      <c r="F3" s="5">
        <f>(B3*E3)/1000</f>
        <v>0.8</v>
      </c>
      <c r="G3" s="6"/>
      <c r="H3" s="6"/>
    </row>
    <row r="4" spans="1:9" x14ac:dyDescent="0.3">
      <c r="A4" s="2" t="s">
        <v>9</v>
      </c>
      <c r="B4" s="2">
        <v>400</v>
      </c>
      <c r="C4" s="2" t="s">
        <v>12</v>
      </c>
      <c r="D4" s="2" t="s">
        <v>13</v>
      </c>
      <c r="E4" s="4">
        <v>170</v>
      </c>
      <c r="F4" s="5">
        <f t="shared" ref="F4:F14" si="0">(B4*E4)/1000</f>
        <v>68</v>
      </c>
      <c r="G4" s="6"/>
      <c r="H4" s="6"/>
    </row>
    <row r="5" spans="1:9" x14ac:dyDescent="0.3">
      <c r="A5" s="2" t="s">
        <v>8</v>
      </c>
      <c r="B5" s="2">
        <v>400</v>
      </c>
      <c r="C5" s="2" t="s">
        <v>14</v>
      </c>
      <c r="D5" s="2" t="s">
        <v>15</v>
      </c>
      <c r="E5" s="4">
        <v>60</v>
      </c>
      <c r="F5" s="5">
        <f t="shared" si="0"/>
        <v>24</v>
      </c>
      <c r="G5" s="6"/>
      <c r="H5" s="6"/>
    </row>
    <row r="6" spans="1:9" x14ac:dyDescent="0.3">
      <c r="A6" s="6"/>
      <c r="B6" s="2">
        <v>400</v>
      </c>
      <c r="C6" s="2"/>
      <c r="D6" s="2" t="s">
        <v>16</v>
      </c>
      <c r="E6" s="4">
        <v>50</v>
      </c>
      <c r="F6" s="5">
        <f t="shared" si="0"/>
        <v>20</v>
      </c>
      <c r="G6" s="6"/>
      <c r="H6" s="6"/>
    </row>
    <row r="7" spans="1:9" x14ac:dyDescent="0.3">
      <c r="A7" s="6"/>
      <c r="B7" s="2">
        <v>400</v>
      </c>
      <c r="C7" s="2"/>
      <c r="D7" s="2" t="s">
        <v>17</v>
      </c>
      <c r="E7" s="4">
        <v>5</v>
      </c>
      <c r="F7" s="5">
        <f t="shared" si="0"/>
        <v>2</v>
      </c>
      <c r="G7" s="6"/>
      <c r="H7" s="6"/>
    </row>
    <row r="8" spans="1:9" x14ac:dyDescent="0.3">
      <c r="A8" s="6"/>
      <c r="B8" s="2">
        <v>400</v>
      </c>
      <c r="C8" s="2"/>
      <c r="D8" s="2" t="s">
        <v>18</v>
      </c>
      <c r="E8" s="4">
        <v>5</v>
      </c>
      <c r="F8" s="5">
        <f t="shared" si="0"/>
        <v>2</v>
      </c>
      <c r="G8" s="6" t="s">
        <v>61</v>
      </c>
      <c r="H8" s="6"/>
    </row>
    <row r="9" spans="1:9" x14ac:dyDescent="0.3">
      <c r="A9" s="6"/>
      <c r="B9" s="2">
        <v>400</v>
      </c>
      <c r="C9" s="2" t="s">
        <v>20</v>
      </c>
      <c r="D9" s="2" t="s">
        <v>21</v>
      </c>
      <c r="E9" s="4">
        <v>100</v>
      </c>
      <c r="F9" s="5">
        <f t="shared" si="0"/>
        <v>40</v>
      </c>
      <c r="G9" s="6"/>
      <c r="H9" s="6"/>
    </row>
    <row r="10" spans="1:9" x14ac:dyDescent="0.3">
      <c r="A10" s="6"/>
      <c r="B10" s="2">
        <v>400</v>
      </c>
      <c r="C10" s="2"/>
      <c r="D10" s="2" t="s">
        <v>22</v>
      </c>
      <c r="E10" s="4">
        <v>10</v>
      </c>
      <c r="F10" s="5">
        <f t="shared" si="0"/>
        <v>4</v>
      </c>
      <c r="G10" s="6"/>
      <c r="H10" s="6"/>
    </row>
    <row r="11" spans="1:9" x14ac:dyDescent="0.3">
      <c r="A11" s="6"/>
      <c r="B11" s="2">
        <v>400</v>
      </c>
      <c r="C11" s="2"/>
      <c r="D11" s="2" t="s">
        <v>23</v>
      </c>
      <c r="E11" s="4">
        <v>10</v>
      </c>
      <c r="F11" s="5">
        <f t="shared" si="0"/>
        <v>4</v>
      </c>
      <c r="G11" s="6"/>
      <c r="H11" s="6"/>
    </row>
    <row r="12" spans="1:9" x14ac:dyDescent="0.3">
      <c r="A12" s="6"/>
      <c r="B12" s="2">
        <v>400</v>
      </c>
      <c r="C12" s="2"/>
      <c r="D12" s="2" t="s">
        <v>24</v>
      </c>
      <c r="E12" s="4">
        <v>4</v>
      </c>
      <c r="F12" s="5">
        <f t="shared" si="0"/>
        <v>1.6</v>
      </c>
      <c r="G12" s="6"/>
      <c r="H12" s="6"/>
    </row>
    <row r="13" spans="1:9" x14ac:dyDescent="0.3">
      <c r="A13" s="6"/>
      <c r="B13" s="2">
        <v>400</v>
      </c>
      <c r="C13" s="2"/>
      <c r="D13" s="2" t="s">
        <v>25</v>
      </c>
      <c r="E13" s="4">
        <v>30</v>
      </c>
      <c r="F13" s="5">
        <f t="shared" si="0"/>
        <v>12</v>
      </c>
      <c r="G13" s="6"/>
      <c r="H13" s="6"/>
    </row>
    <row r="14" spans="1:9" x14ac:dyDescent="0.3">
      <c r="A14" s="6"/>
      <c r="B14" s="2">
        <v>400</v>
      </c>
      <c r="C14" s="2" t="s">
        <v>26</v>
      </c>
      <c r="D14" s="2" t="s">
        <v>26</v>
      </c>
      <c r="E14" s="4">
        <v>40</v>
      </c>
      <c r="F14" s="5">
        <f t="shared" si="0"/>
        <v>16</v>
      </c>
      <c r="G14" s="6"/>
      <c r="H14" s="6"/>
    </row>
    <row r="15" spans="1:9" x14ac:dyDescent="0.3">
      <c r="A15" s="6"/>
      <c r="B15" s="2">
        <v>400</v>
      </c>
      <c r="C15" s="2" t="s">
        <v>27</v>
      </c>
      <c r="D15" s="2" t="s">
        <v>28</v>
      </c>
      <c r="E15" s="4">
        <v>130</v>
      </c>
      <c r="F15" s="5" t="s">
        <v>29</v>
      </c>
      <c r="G15" s="6" t="s">
        <v>30</v>
      </c>
      <c r="H15" s="6"/>
    </row>
    <row r="16" spans="1:9" x14ac:dyDescent="0.3">
      <c r="A16" s="7"/>
      <c r="B16" s="8"/>
      <c r="C16" s="8"/>
      <c r="D16" s="8"/>
      <c r="E16" s="9"/>
      <c r="F16" s="7"/>
      <c r="G16" s="7"/>
      <c r="H16" s="6"/>
    </row>
    <row r="17" spans="1:8" x14ac:dyDescent="0.3">
      <c r="A17" s="3">
        <v>41733</v>
      </c>
      <c r="B17" s="2">
        <v>180</v>
      </c>
      <c r="C17" s="2" t="s">
        <v>33</v>
      </c>
      <c r="D17" s="2" t="s">
        <v>34</v>
      </c>
      <c r="E17" s="4">
        <v>40</v>
      </c>
      <c r="F17" s="5">
        <f>(B17*E17)/1000</f>
        <v>7.2</v>
      </c>
      <c r="G17" s="6"/>
      <c r="H17" s="6"/>
    </row>
    <row r="18" spans="1:8" x14ac:dyDescent="0.3">
      <c r="A18" s="2" t="s">
        <v>31</v>
      </c>
      <c r="B18" s="2">
        <v>180</v>
      </c>
      <c r="C18" s="2"/>
      <c r="D18" s="2" t="s">
        <v>19</v>
      </c>
      <c r="E18" s="4">
        <v>2</v>
      </c>
      <c r="F18" s="5">
        <f t="shared" ref="F18:F40" si="1">(B18*E18)/1000</f>
        <v>0.36</v>
      </c>
      <c r="G18" s="6"/>
      <c r="H18" s="6"/>
    </row>
    <row r="19" spans="1:8" x14ac:dyDescent="0.3">
      <c r="A19" s="2" t="s">
        <v>32</v>
      </c>
      <c r="B19" s="2">
        <v>180</v>
      </c>
      <c r="C19" s="2" t="s">
        <v>35</v>
      </c>
      <c r="D19" s="2" t="s">
        <v>154</v>
      </c>
      <c r="E19" s="4">
        <v>140</v>
      </c>
      <c r="F19" s="5">
        <f t="shared" si="1"/>
        <v>25.2</v>
      </c>
      <c r="G19" s="6"/>
      <c r="H19" s="6"/>
    </row>
    <row r="20" spans="1:8" x14ac:dyDescent="0.3">
      <c r="A20" s="6"/>
      <c r="B20" s="2">
        <v>180</v>
      </c>
      <c r="C20" s="2"/>
      <c r="D20" s="2" t="s">
        <v>36</v>
      </c>
      <c r="E20" s="4">
        <v>25</v>
      </c>
      <c r="F20" s="5">
        <f t="shared" si="1"/>
        <v>4.5</v>
      </c>
      <c r="G20" s="6"/>
      <c r="H20" s="6"/>
    </row>
    <row r="21" spans="1:8" x14ac:dyDescent="0.3">
      <c r="A21" s="6"/>
      <c r="B21" s="2">
        <v>180</v>
      </c>
      <c r="C21" s="2"/>
      <c r="D21" s="2" t="s">
        <v>24</v>
      </c>
      <c r="E21" s="4">
        <v>15</v>
      </c>
      <c r="F21" s="5">
        <f t="shared" si="1"/>
        <v>2.7</v>
      </c>
      <c r="G21" s="6"/>
      <c r="H21" s="6"/>
    </row>
    <row r="22" spans="1:8" x14ac:dyDescent="0.3">
      <c r="A22" s="6"/>
      <c r="B22" s="2">
        <v>180</v>
      </c>
      <c r="C22" s="2"/>
      <c r="D22" s="2" t="s">
        <v>37</v>
      </c>
      <c r="E22" s="4">
        <v>5</v>
      </c>
      <c r="F22" s="5">
        <f t="shared" si="1"/>
        <v>0.9</v>
      </c>
      <c r="G22" s="6"/>
      <c r="H22" s="6"/>
    </row>
    <row r="23" spans="1:8" x14ac:dyDescent="0.3">
      <c r="A23" s="6"/>
      <c r="B23" s="2">
        <v>180</v>
      </c>
      <c r="C23" s="2"/>
      <c r="D23" s="2" t="s">
        <v>38</v>
      </c>
      <c r="E23" s="4">
        <v>3</v>
      </c>
      <c r="F23" s="5">
        <f t="shared" si="1"/>
        <v>0.54</v>
      </c>
      <c r="G23" s="6"/>
      <c r="H23" s="6"/>
    </row>
    <row r="24" spans="1:8" x14ac:dyDescent="0.3">
      <c r="A24" s="6"/>
      <c r="B24" s="2">
        <v>180</v>
      </c>
      <c r="C24" s="2"/>
      <c r="D24" s="2" t="s">
        <v>39</v>
      </c>
      <c r="E24" s="4">
        <v>1</v>
      </c>
      <c r="F24" s="5">
        <f t="shared" si="1"/>
        <v>0.18</v>
      </c>
      <c r="G24" s="6" t="s">
        <v>61</v>
      </c>
      <c r="H24" s="6"/>
    </row>
    <row r="25" spans="1:8" x14ac:dyDescent="0.3">
      <c r="A25" s="6"/>
      <c r="B25" s="2">
        <v>180</v>
      </c>
      <c r="C25" s="2" t="s">
        <v>40</v>
      </c>
      <c r="D25" s="2" t="s">
        <v>41</v>
      </c>
      <c r="E25" s="4">
        <v>50</v>
      </c>
      <c r="F25" s="5">
        <f t="shared" si="1"/>
        <v>9</v>
      </c>
      <c r="G25" s="6"/>
      <c r="H25" s="6"/>
    </row>
    <row r="26" spans="1:8" x14ac:dyDescent="0.3">
      <c r="A26" s="6"/>
      <c r="B26" s="2">
        <v>180</v>
      </c>
      <c r="C26" s="2"/>
      <c r="D26" s="2" t="s">
        <v>42</v>
      </c>
      <c r="E26" s="4">
        <v>10</v>
      </c>
      <c r="F26" s="5">
        <f t="shared" si="1"/>
        <v>1.8</v>
      </c>
      <c r="G26" s="6"/>
      <c r="H26" s="6"/>
    </row>
    <row r="27" spans="1:8" x14ac:dyDescent="0.3">
      <c r="A27" s="6"/>
      <c r="B27" s="2">
        <v>180</v>
      </c>
      <c r="C27" s="2"/>
      <c r="D27" s="2" t="s">
        <v>43</v>
      </c>
      <c r="E27" s="4">
        <v>10</v>
      </c>
      <c r="F27" s="5">
        <f t="shared" si="1"/>
        <v>1.8</v>
      </c>
      <c r="G27" s="6"/>
      <c r="H27" s="6"/>
    </row>
    <row r="28" spans="1:8" x14ac:dyDescent="0.3">
      <c r="A28" s="6"/>
      <c r="B28" s="2">
        <v>180</v>
      </c>
      <c r="C28" s="2"/>
      <c r="D28" s="2" t="s">
        <v>44</v>
      </c>
      <c r="E28" s="4">
        <v>5</v>
      </c>
      <c r="F28" s="5">
        <f t="shared" si="1"/>
        <v>0.9</v>
      </c>
      <c r="G28" s="6"/>
      <c r="H28" s="6"/>
    </row>
    <row r="29" spans="1:8" x14ac:dyDescent="0.3">
      <c r="A29" s="6"/>
      <c r="B29" s="2">
        <v>180</v>
      </c>
      <c r="C29" s="2"/>
      <c r="D29" s="2" t="s">
        <v>45</v>
      </c>
      <c r="E29" s="4"/>
      <c r="F29" s="5">
        <f t="shared" si="1"/>
        <v>0</v>
      </c>
      <c r="G29" s="6"/>
      <c r="H29" s="6"/>
    </row>
    <row r="30" spans="1:8" x14ac:dyDescent="0.3">
      <c r="A30" s="6"/>
      <c r="B30" s="2">
        <v>180</v>
      </c>
      <c r="C30" s="2" t="s">
        <v>46</v>
      </c>
      <c r="D30" s="2" t="s">
        <v>46</v>
      </c>
      <c r="E30" s="4">
        <v>40</v>
      </c>
      <c r="F30" s="5">
        <f t="shared" si="1"/>
        <v>7.2</v>
      </c>
      <c r="G30" s="6"/>
      <c r="H30" s="6"/>
    </row>
    <row r="31" spans="1:8" x14ac:dyDescent="0.3">
      <c r="A31" s="7"/>
      <c r="B31" s="8"/>
      <c r="C31" s="8"/>
      <c r="D31" s="8"/>
      <c r="E31" s="9"/>
      <c r="F31" s="10"/>
      <c r="G31" s="7"/>
      <c r="H31" s="6"/>
    </row>
    <row r="32" spans="1:8" x14ac:dyDescent="0.3">
      <c r="A32" s="3">
        <v>41733</v>
      </c>
      <c r="B32" s="2">
        <v>400</v>
      </c>
      <c r="C32" s="2" t="s">
        <v>48</v>
      </c>
      <c r="D32" s="2" t="s">
        <v>49</v>
      </c>
      <c r="E32" s="4">
        <v>60</v>
      </c>
      <c r="F32" s="5">
        <f t="shared" si="1"/>
        <v>24</v>
      </c>
      <c r="G32" s="6"/>
      <c r="H32" s="6"/>
    </row>
    <row r="33" spans="1:8" x14ac:dyDescent="0.3">
      <c r="A33" s="2" t="s">
        <v>31</v>
      </c>
      <c r="B33" s="2">
        <v>400</v>
      </c>
      <c r="C33" s="2" t="s">
        <v>14</v>
      </c>
      <c r="D33" s="2" t="s">
        <v>50</v>
      </c>
      <c r="E33" s="4">
        <v>30</v>
      </c>
      <c r="F33" s="5">
        <f t="shared" si="1"/>
        <v>12</v>
      </c>
      <c r="G33" s="6"/>
      <c r="H33" s="6"/>
    </row>
    <row r="34" spans="1:8" x14ac:dyDescent="0.3">
      <c r="A34" s="2" t="s">
        <v>47</v>
      </c>
      <c r="B34" s="2">
        <v>400</v>
      </c>
      <c r="C34" s="2"/>
      <c r="D34" s="2" t="s">
        <v>51</v>
      </c>
      <c r="E34" s="4">
        <v>20</v>
      </c>
      <c r="F34" s="5">
        <f t="shared" si="1"/>
        <v>8</v>
      </c>
      <c r="G34" s="6"/>
      <c r="H34" s="6"/>
    </row>
    <row r="35" spans="1:8" x14ac:dyDescent="0.3">
      <c r="A35" s="2"/>
      <c r="B35" s="2">
        <v>400</v>
      </c>
      <c r="C35" s="2"/>
      <c r="D35" s="2" t="s">
        <v>52</v>
      </c>
      <c r="E35" s="4">
        <v>10</v>
      </c>
      <c r="F35" s="5">
        <f t="shared" si="1"/>
        <v>4</v>
      </c>
      <c r="G35" s="6"/>
      <c r="H35" s="6"/>
    </row>
    <row r="36" spans="1:8" x14ac:dyDescent="0.3">
      <c r="A36" s="2"/>
      <c r="B36" s="2">
        <v>400</v>
      </c>
      <c r="C36" s="2"/>
      <c r="D36" s="2" t="s">
        <v>37</v>
      </c>
      <c r="E36" s="4">
        <v>3</v>
      </c>
      <c r="F36" s="5">
        <f t="shared" si="1"/>
        <v>1.2</v>
      </c>
      <c r="G36" s="6"/>
      <c r="H36" s="6"/>
    </row>
    <row r="37" spans="1:8" x14ac:dyDescent="0.3">
      <c r="A37" s="2"/>
      <c r="B37" s="2">
        <v>400</v>
      </c>
      <c r="C37" s="2"/>
      <c r="D37" s="2" t="s">
        <v>55</v>
      </c>
      <c r="E37" s="4">
        <v>60</v>
      </c>
      <c r="F37" s="5">
        <f t="shared" si="1"/>
        <v>24</v>
      </c>
      <c r="G37" s="6"/>
      <c r="H37" s="6"/>
    </row>
    <row r="38" spans="1:8" x14ac:dyDescent="0.3">
      <c r="A38" s="2"/>
      <c r="B38" s="2">
        <v>400</v>
      </c>
      <c r="C38" s="2" t="s">
        <v>53</v>
      </c>
      <c r="D38" s="2" t="s">
        <v>54</v>
      </c>
      <c r="E38" s="4">
        <v>5</v>
      </c>
      <c r="F38" s="5">
        <f t="shared" si="1"/>
        <v>2</v>
      </c>
      <c r="G38" s="6"/>
      <c r="H38" s="6"/>
    </row>
    <row r="39" spans="1:8" x14ac:dyDescent="0.3">
      <c r="A39" s="2"/>
      <c r="B39" s="2">
        <v>400</v>
      </c>
      <c r="C39" s="2" t="s">
        <v>56</v>
      </c>
      <c r="D39" s="2" t="s">
        <v>57</v>
      </c>
      <c r="E39" s="4">
        <v>20</v>
      </c>
      <c r="F39" s="5">
        <f t="shared" si="1"/>
        <v>8</v>
      </c>
      <c r="G39" s="6"/>
      <c r="H39" s="6"/>
    </row>
    <row r="40" spans="1:8" x14ac:dyDescent="0.3">
      <c r="A40" s="2"/>
      <c r="B40" s="2">
        <v>400</v>
      </c>
      <c r="C40" s="2" t="s">
        <v>58</v>
      </c>
      <c r="D40" s="2" t="s">
        <v>59</v>
      </c>
      <c r="E40" s="4">
        <v>100</v>
      </c>
      <c r="F40" s="5">
        <f t="shared" si="1"/>
        <v>40</v>
      </c>
      <c r="G40" s="6"/>
      <c r="H40" s="6"/>
    </row>
    <row r="41" spans="1:8" x14ac:dyDescent="0.3">
      <c r="A41" s="2"/>
      <c r="B41" s="2">
        <v>400</v>
      </c>
      <c r="C41" s="2"/>
      <c r="D41" s="2" t="s">
        <v>60</v>
      </c>
      <c r="E41" s="4"/>
      <c r="F41" s="5">
        <f>(B42*E41)/1000</f>
        <v>0</v>
      </c>
      <c r="G41" s="6"/>
      <c r="H41" s="6"/>
    </row>
    <row r="42" spans="1:8" x14ac:dyDescent="0.3">
      <c r="A42" s="2"/>
      <c r="B42" s="2">
        <v>400</v>
      </c>
      <c r="C42" s="11" t="s">
        <v>143</v>
      </c>
      <c r="D42" s="11" t="s">
        <v>144</v>
      </c>
      <c r="E42" s="4">
        <v>30</v>
      </c>
      <c r="F42" s="5">
        <f>(B43*E42)/1000</f>
        <v>12</v>
      </c>
      <c r="G42" s="6"/>
      <c r="H42" s="6"/>
    </row>
    <row r="43" spans="1:8" x14ac:dyDescent="0.3">
      <c r="A43" s="6"/>
      <c r="B43" s="2">
        <v>400</v>
      </c>
      <c r="C43" s="2" t="s">
        <v>62</v>
      </c>
      <c r="D43" s="2" t="s">
        <v>62</v>
      </c>
      <c r="E43" s="4">
        <v>40</v>
      </c>
      <c r="F43" s="5">
        <f>(B43*E43)/1000</f>
        <v>16</v>
      </c>
      <c r="G43" s="6"/>
      <c r="H43" s="6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selection activeCell="F14" sqref="F14"/>
    </sheetView>
  </sheetViews>
  <sheetFormatPr defaultRowHeight="16.5" x14ac:dyDescent="0.3"/>
  <cols>
    <col min="1" max="2" width="6.625" customWidth="1"/>
    <col min="3" max="3" width="13.5" customWidth="1"/>
    <col min="4" max="4" width="15.375" customWidth="1"/>
    <col min="5" max="6" width="8.25" customWidth="1"/>
    <col min="7" max="7" width="18.625" customWidth="1"/>
    <col min="8" max="8" width="9" hidden="1" customWidth="1"/>
  </cols>
  <sheetData>
    <row r="1" spans="1:9" ht="28.5" customHeight="1" x14ac:dyDescent="0.3">
      <c r="A1" s="17" t="s">
        <v>63</v>
      </c>
      <c r="B1" s="17"/>
      <c r="C1" s="17"/>
      <c r="D1" s="17"/>
      <c r="E1" s="17"/>
      <c r="F1" s="17"/>
      <c r="G1" s="17"/>
      <c r="H1" s="17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1"/>
    </row>
    <row r="3" spans="1:9" x14ac:dyDescent="0.3">
      <c r="A3" s="3">
        <v>41733</v>
      </c>
      <c r="B3" s="2">
        <v>280</v>
      </c>
      <c r="C3" s="2" t="s">
        <v>64</v>
      </c>
      <c r="D3" s="2" t="s">
        <v>65</v>
      </c>
      <c r="E3" s="4">
        <v>2</v>
      </c>
      <c r="F3" s="5">
        <f>(B3*E3)/1000</f>
        <v>0.56000000000000005</v>
      </c>
      <c r="G3" s="6"/>
      <c r="H3" s="6"/>
    </row>
    <row r="4" spans="1:9" x14ac:dyDescent="0.3">
      <c r="A4" s="2" t="s">
        <v>31</v>
      </c>
      <c r="B4" s="2">
        <v>280</v>
      </c>
      <c r="C4" s="2" t="s">
        <v>66</v>
      </c>
      <c r="D4" s="2" t="s">
        <v>67</v>
      </c>
      <c r="E4" s="4">
        <v>60</v>
      </c>
      <c r="F4" s="5">
        <f t="shared" ref="F4:F12" si="0">(B4*E4)/1000</f>
        <v>16.8</v>
      </c>
      <c r="G4" s="6"/>
      <c r="H4" s="6"/>
    </row>
    <row r="5" spans="1:9" x14ac:dyDescent="0.3">
      <c r="A5" s="2" t="s">
        <v>8</v>
      </c>
      <c r="B5" s="2">
        <v>280</v>
      </c>
      <c r="C5" s="2"/>
      <c r="D5" s="2" t="s">
        <v>42</v>
      </c>
      <c r="E5" s="4">
        <v>25</v>
      </c>
      <c r="F5" s="5">
        <f t="shared" si="0"/>
        <v>7</v>
      </c>
      <c r="G5" s="6"/>
      <c r="H5" s="6"/>
    </row>
    <row r="6" spans="1:9" x14ac:dyDescent="0.3">
      <c r="A6" s="6"/>
      <c r="B6" s="2">
        <v>280</v>
      </c>
      <c r="C6" s="2"/>
      <c r="D6" s="2" t="s">
        <v>68</v>
      </c>
      <c r="E6" s="4">
        <v>10</v>
      </c>
      <c r="F6" s="5">
        <f t="shared" si="0"/>
        <v>2.8</v>
      </c>
      <c r="G6" s="6"/>
      <c r="H6" s="6"/>
    </row>
    <row r="7" spans="1:9" x14ac:dyDescent="0.3">
      <c r="A7" s="6"/>
      <c r="B7" s="2">
        <v>280</v>
      </c>
      <c r="C7" s="2"/>
      <c r="D7" s="2" t="s">
        <v>69</v>
      </c>
      <c r="E7" s="4">
        <v>15</v>
      </c>
      <c r="F7" s="5">
        <f t="shared" si="0"/>
        <v>4.2</v>
      </c>
      <c r="G7" s="6" t="s">
        <v>61</v>
      </c>
      <c r="H7" s="6"/>
    </row>
    <row r="8" spans="1:9" x14ac:dyDescent="0.3">
      <c r="A8" s="6"/>
      <c r="B8" s="2">
        <v>280</v>
      </c>
      <c r="C8" s="2"/>
      <c r="D8" s="16" t="s">
        <v>148</v>
      </c>
      <c r="E8" s="4">
        <v>5</v>
      </c>
      <c r="F8" s="5">
        <f t="shared" si="0"/>
        <v>1.4</v>
      </c>
      <c r="G8" s="6" t="s">
        <v>149</v>
      </c>
      <c r="H8" s="6"/>
    </row>
    <row r="9" spans="1:9" x14ac:dyDescent="0.3">
      <c r="A9" s="6"/>
      <c r="B9" s="2">
        <v>280</v>
      </c>
      <c r="C9" s="2" t="s">
        <v>70</v>
      </c>
      <c r="D9" s="2" t="s">
        <v>71</v>
      </c>
      <c r="E9" s="4">
        <v>80</v>
      </c>
      <c r="F9" s="5">
        <f t="shared" si="0"/>
        <v>22.4</v>
      </c>
      <c r="G9" s="6"/>
      <c r="H9" s="6"/>
    </row>
    <row r="10" spans="1:9" x14ac:dyDescent="0.3">
      <c r="A10" s="6"/>
      <c r="B10" s="2">
        <v>280</v>
      </c>
      <c r="C10" s="2" t="s">
        <v>72</v>
      </c>
      <c r="D10" s="2" t="s">
        <v>73</v>
      </c>
      <c r="E10" s="4">
        <v>50</v>
      </c>
      <c r="F10" s="5">
        <f>(B10*E10)/1000</f>
        <v>14</v>
      </c>
      <c r="G10" s="6"/>
      <c r="H10" s="6"/>
    </row>
    <row r="11" spans="1:9" x14ac:dyDescent="0.3">
      <c r="A11" s="6"/>
      <c r="B11" s="2">
        <v>280</v>
      </c>
      <c r="C11" s="2"/>
      <c r="D11" s="2" t="s">
        <v>24</v>
      </c>
      <c r="E11" s="4">
        <v>20</v>
      </c>
      <c r="F11" s="5">
        <f t="shared" si="0"/>
        <v>5.6</v>
      </c>
      <c r="G11" s="6"/>
      <c r="H11" s="6"/>
    </row>
    <row r="12" spans="1:9" x14ac:dyDescent="0.3">
      <c r="A12" s="6"/>
      <c r="B12" s="2">
        <v>280</v>
      </c>
      <c r="C12" s="2" t="s">
        <v>62</v>
      </c>
      <c r="D12" s="2" t="s">
        <v>62</v>
      </c>
      <c r="E12" s="4">
        <v>40</v>
      </c>
      <c r="F12" s="5">
        <f t="shared" si="0"/>
        <v>11.2</v>
      </c>
      <c r="G12" s="6"/>
      <c r="H12" s="6"/>
    </row>
    <row r="13" spans="1:9" x14ac:dyDescent="0.3">
      <c r="A13" s="7"/>
      <c r="B13" s="8"/>
      <c r="C13" s="8"/>
      <c r="D13" s="8"/>
      <c r="E13" s="9"/>
      <c r="F13" s="7"/>
      <c r="G13" s="7"/>
      <c r="H13" s="6"/>
    </row>
    <row r="14" spans="1:9" x14ac:dyDescent="0.3">
      <c r="A14" s="3">
        <v>41734</v>
      </c>
      <c r="B14" s="2">
        <v>150</v>
      </c>
      <c r="C14" s="2" t="s">
        <v>75</v>
      </c>
      <c r="D14" s="2" t="s">
        <v>76</v>
      </c>
      <c r="E14" s="4">
        <v>80</v>
      </c>
      <c r="F14" s="5">
        <f>(B14*E14)/1000</f>
        <v>12</v>
      </c>
      <c r="G14" s="6"/>
      <c r="H14" s="6"/>
    </row>
    <row r="15" spans="1:9" x14ac:dyDescent="0.3">
      <c r="A15" s="2" t="s">
        <v>74</v>
      </c>
      <c r="B15" s="2">
        <v>150</v>
      </c>
      <c r="C15" s="2"/>
      <c r="D15" s="2" t="s">
        <v>69</v>
      </c>
      <c r="E15" s="4">
        <v>20</v>
      </c>
      <c r="F15" s="5">
        <f t="shared" ref="F15:F34" si="1">(B15*E15)/1000</f>
        <v>3</v>
      </c>
      <c r="G15" s="6"/>
      <c r="H15" s="6"/>
    </row>
    <row r="16" spans="1:9" x14ac:dyDescent="0.3">
      <c r="A16" s="2" t="s">
        <v>32</v>
      </c>
      <c r="B16" s="2">
        <v>150</v>
      </c>
      <c r="C16" s="2"/>
      <c r="D16" s="2" t="s">
        <v>19</v>
      </c>
      <c r="E16" s="4">
        <v>2</v>
      </c>
      <c r="F16" s="5">
        <f t="shared" si="1"/>
        <v>0.3</v>
      </c>
      <c r="G16" s="6"/>
      <c r="H16" s="6"/>
    </row>
    <row r="17" spans="1:8" x14ac:dyDescent="0.3">
      <c r="A17" s="6"/>
      <c r="B17" s="2">
        <v>150</v>
      </c>
      <c r="C17" s="2"/>
      <c r="D17" s="2" t="s">
        <v>39</v>
      </c>
      <c r="E17" s="4">
        <v>2</v>
      </c>
      <c r="F17" s="5">
        <f t="shared" si="1"/>
        <v>0.3</v>
      </c>
      <c r="G17" s="6"/>
      <c r="H17" s="6"/>
    </row>
    <row r="18" spans="1:8" x14ac:dyDescent="0.3">
      <c r="A18" s="6"/>
      <c r="B18" s="2">
        <v>150</v>
      </c>
      <c r="C18" s="12" t="s">
        <v>77</v>
      </c>
      <c r="D18" s="2" t="s">
        <v>78</v>
      </c>
      <c r="E18" s="4">
        <v>80</v>
      </c>
      <c r="F18" s="5">
        <f t="shared" si="1"/>
        <v>12</v>
      </c>
      <c r="G18" s="6"/>
      <c r="H18" s="6"/>
    </row>
    <row r="19" spans="1:8" x14ac:dyDescent="0.3">
      <c r="A19" s="6"/>
      <c r="B19" s="2">
        <v>150</v>
      </c>
      <c r="C19" s="12"/>
      <c r="D19" s="2" t="s">
        <v>37</v>
      </c>
      <c r="E19" s="4">
        <v>1</v>
      </c>
      <c r="F19" s="5">
        <f t="shared" si="1"/>
        <v>0.15</v>
      </c>
      <c r="G19" s="13" t="s">
        <v>96</v>
      </c>
      <c r="H19" s="6"/>
    </row>
    <row r="20" spans="1:8" x14ac:dyDescent="0.3">
      <c r="A20" s="6"/>
      <c r="B20" s="2">
        <v>150</v>
      </c>
      <c r="C20" s="2"/>
      <c r="D20" s="2" t="s">
        <v>79</v>
      </c>
      <c r="E20" s="4">
        <v>20</v>
      </c>
      <c r="F20" s="5">
        <f t="shared" si="1"/>
        <v>3</v>
      </c>
      <c r="G20" s="6" t="s">
        <v>80</v>
      </c>
      <c r="H20" s="6"/>
    </row>
    <row r="21" spans="1:8" x14ac:dyDescent="0.3">
      <c r="A21" s="6"/>
      <c r="B21" s="2">
        <v>150</v>
      </c>
      <c r="C21" s="2" t="s">
        <v>81</v>
      </c>
      <c r="D21" s="2" t="s">
        <v>82</v>
      </c>
      <c r="E21" s="4">
        <v>50</v>
      </c>
      <c r="F21" s="5">
        <f t="shared" si="1"/>
        <v>7.5</v>
      </c>
      <c r="G21" s="6"/>
      <c r="H21" s="6"/>
    </row>
    <row r="22" spans="1:8" x14ac:dyDescent="0.3">
      <c r="A22" s="6"/>
      <c r="B22" s="2">
        <v>150</v>
      </c>
      <c r="C22" s="2"/>
      <c r="D22" s="2" t="s">
        <v>24</v>
      </c>
      <c r="E22" s="4">
        <v>20</v>
      </c>
      <c r="F22" s="5">
        <f t="shared" si="1"/>
        <v>3</v>
      </c>
      <c r="G22" s="6"/>
      <c r="H22" s="6"/>
    </row>
    <row r="23" spans="1:8" x14ac:dyDescent="0.3">
      <c r="A23" s="6"/>
      <c r="B23" s="2">
        <v>150</v>
      </c>
      <c r="C23" s="2"/>
      <c r="D23" s="2" t="s">
        <v>37</v>
      </c>
      <c r="E23" s="4">
        <v>5</v>
      </c>
      <c r="F23" s="5">
        <f t="shared" si="1"/>
        <v>0.75</v>
      </c>
      <c r="G23" s="6" t="s">
        <v>83</v>
      </c>
      <c r="H23" s="6"/>
    </row>
    <row r="24" spans="1:8" x14ac:dyDescent="0.3">
      <c r="A24" s="6"/>
      <c r="B24" s="2">
        <v>150</v>
      </c>
      <c r="C24" s="2" t="s">
        <v>62</v>
      </c>
      <c r="D24" s="2" t="s">
        <v>62</v>
      </c>
      <c r="E24" s="4">
        <v>40</v>
      </c>
      <c r="F24" s="5">
        <f t="shared" si="1"/>
        <v>6</v>
      </c>
      <c r="G24" s="6"/>
      <c r="H24" s="6"/>
    </row>
    <row r="25" spans="1:8" x14ac:dyDescent="0.3">
      <c r="A25" s="7"/>
      <c r="B25" s="8"/>
      <c r="C25" s="8"/>
      <c r="D25" s="8"/>
      <c r="E25" s="9"/>
      <c r="F25" s="10"/>
      <c r="G25" s="7"/>
      <c r="H25" s="6"/>
    </row>
    <row r="26" spans="1:8" x14ac:dyDescent="0.3">
      <c r="A26" s="3">
        <v>41734</v>
      </c>
      <c r="B26" s="2">
        <v>220</v>
      </c>
      <c r="C26" s="2" t="s">
        <v>84</v>
      </c>
      <c r="D26" s="2" t="s">
        <v>85</v>
      </c>
      <c r="E26" s="4">
        <v>2</v>
      </c>
      <c r="F26" s="5">
        <f t="shared" si="1"/>
        <v>0.44</v>
      </c>
      <c r="G26" s="6"/>
      <c r="H26" s="6"/>
    </row>
    <row r="27" spans="1:8" x14ac:dyDescent="0.3">
      <c r="A27" s="2" t="s">
        <v>74</v>
      </c>
      <c r="B27" s="2">
        <v>220</v>
      </c>
      <c r="C27" s="2" t="s">
        <v>86</v>
      </c>
      <c r="D27" s="2" t="s">
        <v>87</v>
      </c>
      <c r="E27" s="4">
        <v>2</v>
      </c>
      <c r="F27" s="5">
        <f t="shared" si="1"/>
        <v>0.44</v>
      </c>
      <c r="G27" s="6"/>
      <c r="H27" s="6"/>
    </row>
    <row r="28" spans="1:8" x14ac:dyDescent="0.3">
      <c r="A28" s="2" t="s">
        <v>47</v>
      </c>
      <c r="B28" s="2">
        <v>220</v>
      </c>
      <c r="C28" s="2"/>
      <c r="D28" s="2" t="s">
        <v>88</v>
      </c>
      <c r="E28" s="4">
        <v>15</v>
      </c>
      <c r="F28" s="5">
        <f t="shared" si="1"/>
        <v>3.3</v>
      </c>
      <c r="G28" s="6"/>
      <c r="H28" s="6"/>
    </row>
    <row r="29" spans="1:8" x14ac:dyDescent="0.3">
      <c r="A29" s="2"/>
      <c r="B29" s="2">
        <v>220</v>
      </c>
      <c r="C29" s="2"/>
      <c r="D29" s="2" t="s">
        <v>50</v>
      </c>
      <c r="E29" s="4">
        <v>20</v>
      </c>
      <c r="F29" s="5">
        <f t="shared" si="1"/>
        <v>4.4000000000000004</v>
      </c>
      <c r="G29" s="6"/>
      <c r="H29" s="6"/>
    </row>
    <row r="30" spans="1:8" x14ac:dyDescent="0.3">
      <c r="A30" s="2"/>
      <c r="B30" s="2">
        <v>220</v>
      </c>
      <c r="C30" s="2"/>
      <c r="D30" s="2" t="s">
        <v>89</v>
      </c>
      <c r="E30" s="4">
        <v>15</v>
      </c>
      <c r="F30" s="5">
        <f t="shared" si="1"/>
        <v>3.3</v>
      </c>
      <c r="G30" s="6"/>
      <c r="H30" s="6"/>
    </row>
    <row r="31" spans="1:8" x14ac:dyDescent="0.3">
      <c r="A31" s="2"/>
      <c r="B31" s="2">
        <v>220</v>
      </c>
      <c r="C31" s="2"/>
      <c r="D31" s="2" t="s">
        <v>39</v>
      </c>
      <c r="E31" s="4">
        <v>2</v>
      </c>
      <c r="F31" s="5">
        <f t="shared" si="1"/>
        <v>0.44</v>
      </c>
      <c r="G31" s="6"/>
      <c r="H31" s="6"/>
    </row>
    <row r="32" spans="1:8" x14ac:dyDescent="0.3">
      <c r="A32" s="2"/>
      <c r="B32" s="2">
        <v>220</v>
      </c>
      <c r="C32" s="2"/>
      <c r="D32" s="2" t="s">
        <v>19</v>
      </c>
      <c r="E32" s="4">
        <v>2</v>
      </c>
      <c r="F32" s="5">
        <f t="shared" si="1"/>
        <v>0.44</v>
      </c>
      <c r="G32" s="6"/>
      <c r="H32" s="6"/>
    </row>
    <row r="33" spans="1:8" x14ac:dyDescent="0.3">
      <c r="A33" s="2"/>
      <c r="B33" s="2">
        <v>220</v>
      </c>
      <c r="C33" s="2" t="s">
        <v>90</v>
      </c>
      <c r="D33" s="16" t="s">
        <v>150</v>
      </c>
      <c r="E33" s="4">
        <v>50</v>
      </c>
      <c r="F33" s="5">
        <f t="shared" si="1"/>
        <v>11</v>
      </c>
      <c r="G33" s="6"/>
      <c r="H33" s="6"/>
    </row>
    <row r="34" spans="1:8" x14ac:dyDescent="0.3">
      <c r="A34" s="2"/>
      <c r="B34" s="2">
        <v>220</v>
      </c>
      <c r="C34" s="2"/>
      <c r="D34" s="2" t="s">
        <v>91</v>
      </c>
      <c r="E34" s="4">
        <v>15</v>
      </c>
      <c r="F34" s="5">
        <f t="shared" si="1"/>
        <v>3.3</v>
      </c>
      <c r="G34" s="6"/>
      <c r="H34" s="6"/>
    </row>
    <row r="35" spans="1:8" x14ac:dyDescent="0.3">
      <c r="A35" s="2"/>
      <c r="B35" s="2">
        <v>220</v>
      </c>
      <c r="C35" s="2"/>
      <c r="D35" s="2" t="s">
        <v>92</v>
      </c>
      <c r="E35" s="4">
        <v>15</v>
      </c>
      <c r="F35" s="5">
        <f>(B36*E35)/1000</f>
        <v>3.3</v>
      </c>
      <c r="G35" s="6"/>
      <c r="H35" s="6"/>
    </row>
    <row r="36" spans="1:8" x14ac:dyDescent="0.3">
      <c r="A36" s="2"/>
      <c r="B36" s="2">
        <v>220</v>
      </c>
      <c r="C36" s="2" t="s">
        <v>93</v>
      </c>
      <c r="D36" s="2" t="s">
        <v>94</v>
      </c>
      <c r="E36" s="4">
        <v>40</v>
      </c>
      <c r="F36" s="5">
        <f>(B37*E36)/1000</f>
        <v>8.8000000000000007</v>
      </c>
      <c r="G36" s="6"/>
      <c r="H36" s="6"/>
    </row>
    <row r="37" spans="1:8" x14ac:dyDescent="0.3">
      <c r="A37" s="6"/>
      <c r="B37" s="2">
        <v>220</v>
      </c>
      <c r="C37" s="2" t="s">
        <v>26</v>
      </c>
      <c r="D37" s="2" t="s">
        <v>95</v>
      </c>
      <c r="E37" s="4">
        <v>40</v>
      </c>
      <c r="F37" s="5">
        <f>(B37*E37)/1000</f>
        <v>8.8000000000000007</v>
      </c>
      <c r="G37" s="6"/>
      <c r="H37" s="6"/>
    </row>
    <row r="38" spans="1:8" x14ac:dyDescent="0.3">
      <c r="H38" s="6"/>
    </row>
    <row r="39" spans="1:8" x14ac:dyDescent="0.3">
      <c r="H39" s="6"/>
    </row>
    <row r="40" spans="1:8" x14ac:dyDescent="0.3">
      <c r="H40" s="6"/>
    </row>
    <row r="41" spans="1:8" x14ac:dyDescent="0.3">
      <c r="H41" s="6"/>
    </row>
    <row r="42" spans="1:8" x14ac:dyDescent="0.3">
      <c r="H42" s="6"/>
    </row>
    <row r="43" spans="1:8" x14ac:dyDescent="0.3">
      <c r="H43" s="6"/>
    </row>
    <row r="44" spans="1:8" x14ac:dyDescent="0.3">
      <c r="H44" s="6"/>
    </row>
  </sheetData>
  <autoFilter ref="A2:G37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G11" sqref="G11"/>
    </sheetView>
  </sheetViews>
  <sheetFormatPr defaultRowHeight="16.5" x14ac:dyDescent="0.3"/>
  <cols>
    <col min="1" max="2" width="6.625" customWidth="1"/>
    <col min="3" max="3" width="13.5" customWidth="1"/>
    <col min="4" max="4" width="15.375" customWidth="1"/>
    <col min="5" max="6" width="8.25" customWidth="1"/>
    <col min="7" max="7" width="18.625" customWidth="1"/>
    <col min="8" max="8" width="9" hidden="1" customWidth="1"/>
  </cols>
  <sheetData>
    <row r="1" spans="1:9" ht="28.5" customHeight="1" x14ac:dyDescent="0.3">
      <c r="A1" s="17" t="s">
        <v>97</v>
      </c>
      <c r="B1" s="17"/>
      <c r="C1" s="17"/>
      <c r="D1" s="17"/>
      <c r="E1" s="17"/>
      <c r="F1" s="17"/>
      <c r="G1" s="17"/>
      <c r="H1" s="17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1"/>
    </row>
    <row r="3" spans="1:9" x14ac:dyDescent="0.3">
      <c r="A3" s="3">
        <v>41734</v>
      </c>
      <c r="B3" s="2">
        <v>280</v>
      </c>
      <c r="C3" s="2" t="s">
        <v>98</v>
      </c>
      <c r="D3" s="2" t="s">
        <v>99</v>
      </c>
      <c r="E3" s="4">
        <v>20</v>
      </c>
      <c r="F3" s="5">
        <f>(B3*E3)/1000</f>
        <v>5.6</v>
      </c>
      <c r="G3" s="6"/>
      <c r="H3" s="6"/>
    </row>
    <row r="4" spans="1:9" x14ac:dyDescent="0.3">
      <c r="A4" s="2" t="s">
        <v>74</v>
      </c>
      <c r="B4" s="2">
        <v>280</v>
      </c>
      <c r="C4" s="2"/>
      <c r="D4" s="2" t="s">
        <v>16</v>
      </c>
      <c r="E4" s="4">
        <v>30</v>
      </c>
      <c r="F4" s="5">
        <f t="shared" ref="F4:F14" si="0">(B4*E4)/1000</f>
        <v>8.4</v>
      </c>
      <c r="G4" s="6"/>
      <c r="H4" s="6"/>
    </row>
    <row r="5" spans="1:9" x14ac:dyDescent="0.3">
      <c r="A5" s="2" t="s">
        <v>8</v>
      </c>
      <c r="B5" s="2">
        <v>280</v>
      </c>
      <c r="C5" s="2"/>
      <c r="D5" s="2" t="s">
        <v>100</v>
      </c>
      <c r="E5" s="4">
        <v>15</v>
      </c>
      <c r="F5" s="5">
        <f t="shared" si="0"/>
        <v>4.2</v>
      </c>
      <c r="G5" s="6"/>
      <c r="H5" s="6"/>
    </row>
    <row r="6" spans="1:9" x14ac:dyDescent="0.3">
      <c r="A6" s="6"/>
      <c r="B6" s="2">
        <v>280</v>
      </c>
      <c r="C6" s="2"/>
      <c r="D6" s="2" t="s">
        <v>36</v>
      </c>
      <c r="E6" s="4">
        <v>30</v>
      </c>
      <c r="F6" s="5">
        <f t="shared" si="0"/>
        <v>8.4</v>
      </c>
      <c r="G6" s="6"/>
      <c r="H6" s="6"/>
    </row>
    <row r="7" spans="1:9" x14ac:dyDescent="0.3">
      <c r="A7" s="6"/>
      <c r="B7" s="2">
        <v>280</v>
      </c>
      <c r="C7" s="2"/>
      <c r="D7" s="2" t="s">
        <v>101</v>
      </c>
      <c r="E7" s="4">
        <v>25</v>
      </c>
      <c r="F7" s="5">
        <f t="shared" si="0"/>
        <v>7</v>
      </c>
      <c r="G7" s="6"/>
      <c r="H7" s="6"/>
    </row>
    <row r="8" spans="1:9" x14ac:dyDescent="0.3">
      <c r="A8" s="6"/>
      <c r="B8" s="2">
        <v>280</v>
      </c>
      <c r="C8" s="2"/>
      <c r="D8" s="2" t="s">
        <v>24</v>
      </c>
      <c r="E8" s="4">
        <v>2</v>
      </c>
      <c r="F8" s="5">
        <f t="shared" si="0"/>
        <v>0.56000000000000005</v>
      </c>
      <c r="G8" s="6"/>
      <c r="H8" s="6"/>
    </row>
    <row r="9" spans="1:9" x14ac:dyDescent="0.3">
      <c r="A9" s="6"/>
      <c r="B9" s="2">
        <v>280</v>
      </c>
      <c r="C9" s="2" t="s">
        <v>102</v>
      </c>
      <c r="D9" s="2" t="s">
        <v>103</v>
      </c>
      <c r="E9" s="4">
        <v>30</v>
      </c>
      <c r="F9" s="5">
        <f t="shared" si="0"/>
        <v>8.4</v>
      </c>
      <c r="G9" s="6"/>
      <c r="H9" s="6"/>
    </row>
    <row r="10" spans="1:9" x14ac:dyDescent="0.3">
      <c r="A10" s="6"/>
      <c r="B10" s="2">
        <v>280</v>
      </c>
      <c r="C10" s="2"/>
      <c r="D10" s="2" t="s">
        <v>24</v>
      </c>
      <c r="E10" s="4">
        <v>5</v>
      </c>
      <c r="F10" s="5">
        <f>(B10*E10)/1000</f>
        <v>1.4</v>
      </c>
      <c r="G10" s="6"/>
      <c r="H10" s="6"/>
    </row>
    <row r="11" spans="1:9" x14ac:dyDescent="0.3">
      <c r="A11" s="6"/>
      <c r="B11" s="2">
        <v>280</v>
      </c>
      <c r="C11" s="2" t="s">
        <v>104</v>
      </c>
      <c r="D11" s="2" t="s">
        <v>104</v>
      </c>
      <c r="E11" s="4">
        <v>60</v>
      </c>
      <c r="F11" s="5">
        <f t="shared" si="0"/>
        <v>16.8</v>
      </c>
      <c r="G11" s="6" t="s">
        <v>151</v>
      </c>
      <c r="H11" s="6"/>
    </row>
    <row r="12" spans="1:9" x14ac:dyDescent="0.3">
      <c r="A12" s="6"/>
      <c r="B12" s="2">
        <v>280</v>
      </c>
      <c r="C12" s="2"/>
      <c r="D12" s="2" t="s">
        <v>60</v>
      </c>
      <c r="E12" s="4">
        <v>0</v>
      </c>
      <c r="F12" s="5">
        <f t="shared" si="0"/>
        <v>0</v>
      </c>
      <c r="G12" s="6"/>
      <c r="H12" s="6"/>
    </row>
    <row r="13" spans="1:9" x14ac:dyDescent="0.3">
      <c r="A13" s="6"/>
      <c r="B13" s="2">
        <v>280</v>
      </c>
      <c r="C13" s="15" t="s">
        <v>145</v>
      </c>
      <c r="D13" s="15" t="s">
        <v>146</v>
      </c>
      <c r="E13" s="4">
        <v>20</v>
      </c>
      <c r="F13" s="5">
        <f t="shared" si="0"/>
        <v>5.6</v>
      </c>
      <c r="G13" s="6" t="s">
        <v>147</v>
      </c>
      <c r="H13" s="6"/>
    </row>
    <row r="14" spans="1:9" x14ac:dyDescent="0.3">
      <c r="A14" s="6"/>
      <c r="B14" s="2">
        <v>280</v>
      </c>
      <c r="C14" s="2" t="s">
        <v>105</v>
      </c>
      <c r="D14" s="2" t="s">
        <v>106</v>
      </c>
      <c r="E14" s="4">
        <v>60</v>
      </c>
      <c r="F14" s="5">
        <f t="shared" si="0"/>
        <v>16.8</v>
      </c>
      <c r="G14" s="6"/>
      <c r="H14" s="6"/>
    </row>
    <row r="15" spans="1:9" x14ac:dyDescent="0.3">
      <c r="A15" s="6"/>
      <c r="B15" s="2">
        <v>280</v>
      </c>
      <c r="C15" s="2" t="s">
        <v>107</v>
      </c>
      <c r="D15" s="2" t="s">
        <v>107</v>
      </c>
      <c r="E15" s="4"/>
      <c r="F15" s="14" t="s">
        <v>108</v>
      </c>
      <c r="G15" s="6" t="s">
        <v>109</v>
      </c>
      <c r="H15" s="6"/>
    </row>
    <row r="16" spans="1:9" x14ac:dyDescent="0.3">
      <c r="A16" s="7"/>
      <c r="B16" s="8"/>
      <c r="C16" s="8"/>
      <c r="D16" s="8"/>
      <c r="E16" s="9"/>
      <c r="F16" s="7"/>
      <c r="G16" s="7"/>
      <c r="H16" s="6"/>
    </row>
    <row r="17" spans="1:8" x14ac:dyDescent="0.3">
      <c r="A17" s="3">
        <v>41735</v>
      </c>
      <c r="B17" s="2">
        <v>200</v>
      </c>
      <c r="C17" s="2" t="s">
        <v>111</v>
      </c>
      <c r="D17" s="2" t="s">
        <v>111</v>
      </c>
      <c r="E17" s="4">
        <v>100</v>
      </c>
      <c r="F17" s="14" t="s">
        <v>108</v>
      </c>
      <c r="G17" s="6"/>
      <c r="H17" s="6"/>
    </row>
    <row r="18" spans="1:8" x14ac:dyDescent="0.3">
      <c r="A18" s="2" t="s">
        <v>110</v>
      </c>
      <c r="B18" s="2">
        <v>200</v>
      </c>
      <c r="C18" s="2" t="s">
        <v>112</v>
      </c>
      <c r="D18" s="2" t="s">
        <v>112</v>
      </c>
      <c r="E18" s="4">
        <v>180</v>
      </c>
      <c r="F18" s="14" t="s">
        <v>113</v>
      </c>
      <c r="G18" s="6"/>
      <c r="H18" s="6"/>
    </row>
    <row r="19" spans="1:8" x14ac:dyDescent="0.3">
      <c r="A19" s="2" t="s">
        <v>32</v>
      </c>
      <c r="B19" s="2">
        <v>200</v>
      </c>
      <c r="C19" s="2" t="s">
        <v>114</v>
      </c>
      <c r="D19" s="2" t="s">
        <v>114</v>
      </c>
      <c r="E19" s="4">
        <v>30</v>
      </c>
      <c r="F19" s="5">
        <f t="shared" ref="F19:F35" si="1">(B19*E19)/1000</f>
        <v>6</v>
      </c>
      <c r="G19" s="6"/>
      <c r="H19" s="6"/>
    </row>
    <row r="20" spans="1:8" x14ac:dyDescent="0.3">
      <c r="A20" s="6"/>
      <c r="B20" s="2">
        <v>200</v>
      </c>
      <c r="C20" s="2" t="s">
        <v>115</v>
      </c>
      <c r="D20" s="2" t="s">
        <v>116</v>
      </c>
      <c r="E20" s="4">
        <v>65</v>
      </c>
      <c r="F20" s="5">
        <f t="shared" si="1"/>
        <v>13</v>
      </c>
      <c r="G20" s="6"/>
      <c r="H20" s="6"/>
    </row>
    <row r="21" spans="1:8" x14ac:dyDescent="0.3">
      <c r="A21" s="6"/>
      <c r="B21" s="2">
        <v>200</v>
      </c>
      <c r="C21" s="12"/>
      <c r="D21" s="2" t="s">
        <v>117</v>
      </c>
      <c r="E21" s="4">
        <v>40</v>
      </c>
      <c r="F21" s="5">
        <f t="shared" si="1"/>
        <v>8</v>
      </c>
      <c r="G21" s="6"/>
      <c r="H21" s="6"/>
    </row>
    <row r="22" spans="1:8" x14ac:dyDescent="0.3">
      <c r="A22" s="6"/>
      <c r="B22" s="2">
        <v>200</v>
      </c>
      <c r="C22" s="12"/>
      <c r="D22" s="2" t="s">
        <v>118</v>
      </c>
      <c r="E22" s="4">
        <v>7</v>
      </c>
      <c r="F22" s="5">
        <f t="shared" si="1"/>
        <v>1.4</v>
      </c>
      <c r="G22" s="13"/>
      <c r="H22" s="6"/>
    </row>
    <row r="23" spans="1:8" x14ac:dyDescent="0.3">
      <c r="A23" s="6"/>
      <c r="B23" s="2">
        <v>200</v>
      </c>
      <c r="C23" s="2"/>
      <c r="D23" s="2" t="s">
        <v>119</v>
      </c>
      <c r="E23" s="4">
        <v>20</v>
      </c>
      <c r="F23" s="5">
        <f t="shared" si="1"/>
        <v>4</v>
      </c>
      <c r="G23" s="6"/>
      <c r="H23" s="6"/>
    </row>
    <row r="24" spans="1:8" x14ac:dyDescent="0.3">
      <c r="A24" s="6"/>
      <c r="B24" s="2">
        <v>200</v>
      </c>
      <c r="C24" s="2"/>
      <c r="D24" s="2" t="s">
        <v>120</v>
      </c>
      <c r="E24" s="4">
        <v>30</v>
      </c>
      <c r="F24" s="5">
        <f t="shared" si="1"/>
        <v>6</v>
      </c>
      <c r="G24" s="6"/>
      <c r="H24" s="6"/>
    </row>
    <row r="25" spans="1:8" x14ac:dyDescent="0.3">
      <c r="A25" s="6"/>
      <c r="B25" s="2">
        <v>200</v>
      </c>
      <c r="C25" s="2" t="s">
        <v>121</v>
      </c>
      <c r="D25" s="2" t="s">
        <v>121</v>
      </c>
      <c r="E25" s="4">
        <v>90</v>
      </c>
      <c r="F25" s="5">
        <f t="shared" si="1"/>
        <v>18</v>
      </c>
      <c r="G25" s="6" t="s">
        <v>122</v>
      </c>
      <c r="H25" s="6"/>
    </row>
    <row r="26" spans="1:8" x14ac:dyDescent="0.3">
      <c r="A26" s="7"/>
      <c r="B26" s="8"/>
      <c r="C26" s="8"/>
      <c r="D26" s="8"/>
      <c r="E26" s="9"/>
      <c r="F26" s="10"/>
      <c r="G26" s="7"/>
      <c r="H26" s="6"/>
    </row>
    <row r="27" spans="1:8" x14ac:dyDescent="0.3">
      <c r="A27" s="3">
        <v>41735</v>
      </c>
      <c r="B27" s="2">
        <v>220</v>
      </c>
      <c r="C27" s="2" t="s">
        <v>123</v>
      </c>
      <c r="D27" s="2" t="s">
        <v>124</v>
      </c>
      <c r="E27" s="4">
        <v>2</v>
      </c>
      <c r="F27" s="5">
        <f t="shared" si="1"/>
        <v>0.44</v>
      </c>
      <c r="G27" s="6"/>
      <c r="H27" s="6"/>
    </row>
    <row r="28" spans="1:8" x14ac:dyDescent="0.3">
      <c r="A28" s="2" t="s">
        <v>110</v>
      </c>
      <c r="B28" s="2">
        <v>220</v>
      </c>
      <c r="C28" s="2" t="s">
        <v>125</v>
      </c>
      <c r="D28" s="2" t="s">
        <v>126</v>
      </c>
      <c r="E28" s="4">
        <v>25</v>
      </c>
      <c r="F28" s="5">
        <f t="shared" si="1"/>
        <v>5.5</v>
      </c>
      <c r="G28" s="6"/>
      <c r="H28" s="6"/>
    </row>
    <row r="29" spans="1:8" x14ac:dyDescent="0.3">
      <c r="A29" s="2" t="s">
        <v>47</v>
      </c>
      <c r="B29" s="2">
        <v>220</v>
      </c>
      <c r="C29" s="2"/>
      <c r="D29" s="2" t="s">
        <v>69</v>
      </c>
      <c r="E29" s="4">
        <v>25</v>
      </c>
      <c r="F29" s="5">
        <f t="shared" si="1"/>
        <v>5.5</v>
      </c>
      <c r="G29" s="6"/>
      <c r="H29" s="6"/>
    </row>
    <row r="30" spans="1:8" x14ac:dyDescent="0.3">
      <c r="A30" s="2"/>
      <c r="B30" s="2">
        <v>220</v>
      </c>
      <c r="C30" s="2"/>
      <c r="D30" s="2" t="s">
        <v>19</v>
      </c>
      <c r="E30" s="4">
        <v>2</v>
      </c>
      <c r="F30" s="5">
        <f t="shared" si="1"/>
        <v>0.44</v>
      </c>
      <c r="G30" s="6"/>
      <c r="H30" s="6"/>
    </row>
    <row r="31" spans="1:8" x14ac:dyDescent="0.3">
      <c r="A31" s="2"/>
      <c r="B31" s="2">
        <v>220</v>
      </c>
      <c r="C31" s="2" t="s">
        <v>127</v>
      </c>
      <c r="D31" s="2" t="s">
        <v>128</v>
      </c>
      <c r="E31" s="4">
        <v>70</v>
      </c>
      <c r="F31" s="5">
        <f t="shared" si="1"/>
        <v>15.4</v>
      </c>
      <c r="G31" s="6"/>
      <c r="H31" s="6"/>
    </row>
    <row r="32" spans="1:8" x14ac:dyDescent="0.3">
      <c r="A32" s="2"/>
      <c r="B32" s="2">
        <v>220</v>
      </c>
      <c r="C32" s="2"/>
      <c r="D32" s="2" t="s">
        <v>129</v>
      </c>
      <c r="E32" s="4">
        <v>0</v>
      </c>
      <c r="F32" s="5">
        <f t="shared" si="1"/>
        <v>0</v>
      </c>
      <c r="G32" s="6"/>
      <c r="H32" s="6"/>
    </row>
    <row r="33" spans="1:8" x14ac:dyDescent="0.3">
      <c r="A33" s="2"/>
      <c r="B33" s="2">
        <v>220</v>
      </c>
      <c r="C33" s="2" t="s">
        <v>130</v>
      </c>
      <c r="D33" s="2" t="s">
        <v>131</v>
      </c>
      <c r="E33" s="4">
        <v>100</v>
      </c>
      <c r="F33" s="5">
        <f t="shared" si="1"/>
        <v>22</v>
      </c>
      <c r="G33" s="6"/>
      <c r="H33" s="6"/>
    </row>
    <row r="34" spans="1:8" x14ac:dyDescent="0.3">
      <c r="A34" s="2"/>
      <c r="B34" s="2">
        <v>220</v>
      </c>
      <c r="C34" s="2"/>
      <c r="D34" s="2" t="s">
        <v>24</v>
      </c>
      <c r="E34" s="4">
        <v>20</v>
      </c>
      <c r="F34" s="5">
        <f t="shared" si="1"/>
        <v>4.4000000000000004</v>
      </c>
      <c r="G34" s="6"/>
      <c r="H34" s="6"/>
    </row>
    <row r="35" spans="1:8" x14ac:dyDescent="0.3">
      <c r="A35" s="2"/>
      <c r="B35" s="2">
        <v>220</v>
      </c>
      <c r="C35" s="2"/>
      <c r="D35" s="2" t="s">
        <v>17</v>
      </c>
      <c r="E35" s="4">
        <v>5</v>
      </c>
      <c r="F35" s="5">
        <f t="shared" si="1"/>
        <v>1.1000000000000001</v>
      </c>
      <c r="G35" s="6"/>
      <c r="H35" s="6"/>
    </row>
    <row r="36" spans="1:8" x14ac:dyDescent="0.3">
      <c r="A36" s="2"/>
      <c r="B36" s="2">
        <v>220</v>
      </c>
      <c r="C36" s="2"/>
      <c r="D36" s="2" t="s">
        <v>36</v>
      </c>
      <c r="E36" s="4">
        <v>30</v>
      </c>
      <c r="F36" s="5">
        <f>(B37*E36)/1000</f>
        <v>6.6</v>
      </c>
      <c r="G36" s="6"/>
      <c r="H36" s="6"/>
    </row>
    <row r="37" spans="1:8" x14ac:dyDescent="0.3">
      <c r="A37" s="2"/>
      <c r="B37" s="2">
        <v>220</v>
      </c>
      <c r="C37" s="2"/>
      <c r="D37" s="2" t="s">
        <v>37</v>
      </c>
      <c r="E37" s="4">
        <v>5</v>
      </c>
      <c r="F37" s="5">
        <f>(B39*E37)/1000</f>
        <v>1.1000000000000001</v>
      </c>
      <c r="G37" s="6"/>
      <c r="H37" s="6"/>
    </row>
    <row r="38" spans="1:8" x14ac:dyDescent="0.3">
      <c r="A38" s="2"/>
      <c r="B38" s="2">
        <v>220</v>
      </c>
      <c r="C38" s="2"/>
      <c r="D38" s="2" t="s">
        <v>18</v>
      </c>
      <c r="E38" s="4">
        <v>3</v>
      </c>
      <c r="F38" s="5">
        <f>(B38*E38)/1000</f>
        <v>0.66</v>
      </c>
      <c r="G38" s="6"/>
      <c r="H38" s="6"/>
    </row>
    <row r="39" spans="1:8" x14ac:dyDescent="0.3">
      <c r="A39" s="6"/>
      <c r="B39" s="2">
        <v>220</v>
      </c>
      <c r="C39" s="2" t="s">
        <v>26</v>
      </c>
      <c r="D39" s="2" t="s">
        <v>26</v>
      </c>
      <c r="E39" s="4">
        <v>40</v>
      </c>
      <c r="F39" s="5">
        <f>(B39*E39)/1000</f>
        <v>8.8000000000000007</v>
      </c>
      <c r="G39" s="6"/>
      <c r="H39" s="6"/>
    </row>
    <row r="40" spans="1:8" x14ac:dyDescent="0.3">
      <c r="H40" s="6"/>
    </row>
    <row r="41" spans="1:8" x14ac:dyDescent="0.3">
      <c r="H41" s="6"/>
    </row>
    <row r="42" spans="1:8" x14ac:dyDescent="0.3">
      <c r="H42" s="6"/>
    </row>
    <row r="43" spans="1:8" x14ac:dyDescent="0.3">
      <c r="H43" s="6"/>
    </row>
    <row r="44" spans="1:8" x14ac:dyDescent="0.3">
      <c r="H44" s="6"/>
    </row>
    <row r="45" spans="1:8" x14ac:dyDescent="0.3">
      <c r="H45" s="6"/>
    </row>
    <row r="46" spans="1:8" x14ac:dyDescent="0.3">
      <c r="H46" s="6"/>
    </row>
    <row r="47" spans="1:8" x14ac:dyDescent="0.3">
      <c r="H47" s="6"/>
    </row>
    <row r="48" spans="1:8" x14ac:dyDescent="0.3">
      <c r="H48" s="6"/>
    </row>
  </sheetData>
  <autoFilter ref="A2:G39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sqref="A1:H1"/>
    </sheetView>
  </sheetViews>
  <sheetFormatPr defaultRowHeight="16.5" x14ac:dyDescent="0.3"/>
  <cols>
    <col min="1" max="2" width="6.625" customWidth="1"/>
    <col min="3" max="3" width="13.5" customWidth="1"/>
    <col min="4" max="4" width="15.375" customWidth="1"/>
    <col min="5" max="6" width="8.25" customWidth="1"/>
    <col min="7" max="7" width="18.625" customWidth="1"/>
    <col min="8" max="8" width="9" hidden="1" customWidth="1"/>
  </cols>
  <sheetData>
    <row r="1" spans="1:9" ht="28.5" customHeight="1" x14ac:dyDescent="0.3">
      <c r="A1" s="17" t="s">
        <v>153</v>
      </c>
      <c r="B1" s="17"/>
      <c r="C1" s="17"/>
      <c r="D1" s="17"/>
      <c r="E1" s="17"/>
      <c r="F1" s="17"/>
      <c r="G1" s="17"/>
      <c r="H1" s="17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1"/>
    </row>
    <row r="3" spans="1:9" x14ac:dyDescent="0.3">
      <c r="A3" s="3">
        <v>41735</v>
      </c>
      <c r="B3" s="2">
        <v>350</v>
      </c>
      <c r="C3" s="2" t="s">
        <v>132</v>
      </c>
      <c r="D3" s="2" t="s">
        <v>133</v>
      </c>
      <c r="E3" s="4">
        <v>100</v>
      </c>
      <c r="F3" s="5">
        <f>(B3*E3)/1000</f>
        <v>35</v>
      </c>
      <c r="G3" s="6"/>
      <c r="H3" s="6"/>
    </row>
    <row r="4" spans="1:9" x14ac:dyDescent="0.3">
      <c r="A4" s="2" t="s">
        <v>110</v>
      </c>
      <c r="B4" s="2">
        <v>350</v>
      </c>
      <c r="C4" s="2" t="s">
        <v>14</v>
      </c>
      <c r="D4" s="2" t="s">
        <v>36</v>
      </c>
      <c r="E4" s="4">
        <v>50</v>
      </c>
      <c r="F4" s="5">
        <f t="shared" ref="F4:F14" si="0">(B4*E4)/1000</f>
        <v>17.5</v>
      </c>
      <c r="G4" s="6"/>
      <c r="H4" s="6"/>
    </row>
    <row r="5" spans="1:9" x14ac:dyDescent="0.3">
      <c r="A5" s="2" t="s">
        <v>8</v>
      </c>
      <c r="B5" s="2">
        <v>350</v>
      </c>
      <c r="C5" s="2"/>
      <c r="D5" s="2" t="s">
        <v>24</v>
      </c>
      <c r="E5" s="4">
        <v>30</v>
      </c>
      <c r="F5" s="5">
        <f t="shared" si="0"/>
        <v>10.5</v>
      </c>
      <c r="G5" s="6"/>
      <c r="H5" s="6"/>
    </row>
    <row r="6" spans="1:9" x14ac:dyDescent="0.3">
      <c r="A6" s="6"/>
      <c r="B6" s="2">
        <v>350</v>
      </c>
      <c r="C6" s="2"/>
      <c r="D6" s="2" t="s">
        <v>37</v>
      </c>
      <c r="E6" s="4">
        <v>10</v>
      </c>
      <c r="F6" s="5">
        <f t="shared" si="0"/>
        <v>3.5</v>
      </c>
      <c r="G6" s="6"/>
      <c r="H6" s="6"/>
    </row>
    <row r="7" spans="1:9" x14ac:dyDescent="0.3">
      <c r="A7" s="6"/>
      <c r="B7" s="2">
        <v>350</v>
      </c>
      <c r="C7" s="2"/>
      <c r="D7" s="2" t="s">
        <v>45</v>
      </c>
      <c r="E7" s="4">
        <v>2</v>
      </c>
      <c r="F7" s="5">
        <f t="shared" si="0"/>
        <v>0.7</v>
      </c>
      <c r="G7" s="6" t="s">
        <v>134</v>
      </c>
      <c r="H7" s="6"/>
    </row>
    <row r="8" spans="1:9" x14ac:dyDescent="0.3">
      <c r="A8" s="6"/>
      <c r="B8" s="2">
        <v>350</v>
      </c>
      <c r="C8" s="2" t="s">
        <v>135</v>
      </c>
      <c r="D8" s="2" t="s">
        <v>89</v>
      </c>
      <c r="E8" s="4">
        <v>25</v>
      </c>
      <c r="F8" s="5">
        <f t="shared" si="0"/>
        <v>8.75</v>
      </c>
      <c r="G8" s="6"/>
      <c r="H8" s="6"/>
    </row>
    <row r="9" spans="1:9" x14ac:dyDescent="0.3">
      <c r="A9" s="6"/>
      <c r="B9" s="2">
        <v>350</v>
      </c>
      <c r="C9" s="2"/>
      <c r="D9" s="2" t="s">
        <v>19</v>
      </c>
      <c r="E9" s="4">
        <v>2</v>
      </c>
      <c r="F9" s="5">
        <f t="shared" si="0"/>
        <v>0.7</v>
      </c>
      <c r="G9" s="6"/>
      <c r="H9" s="6"/>
    </row>
    <row r="10" spans="1:9" x14ac:dyDescent="0.3">
      <c r="A10" s="6"/>
      <c r="B10" s="2">
        <v>350</v>
      </c>
      <c r="C10" s="2" t="s">
        <v>136</v>
      </c>
      <c r="D10" s="2" t="s">
        <v>137</v>
      </c>
      <c r="E10" s="4">
        <v>60</v>
      </c>
      <c r="F10" s="5">
        <f>(B10*E10)/1000</f>
        <v>21</v>
      </c>
      <c r="G10" s="6"/>
      <c r="H10" s="6"/>
    </row>
    <row r="11" spans="1:9" x14ac:dyDescent="0.3">
      <c r="A11" s="6"/>
      <c r="B11" s="2">
        <v>350</v>
      </c>
      <c r="C11" s="2"/>
      <c r="D11" s="2" t="s">
        <v>138</v>
      </c>
      <c r="E11" s="4">
        <v>10</v>
      </c>
      <c r="F11" s="5">
        <f t="shared" si="0"/>
        <v>3.5</v>
      </c>
      <c r="G11" s="6"/>
      <c r="H11" s="6"/>
    </row>
    <row r="12" spans="1:9" x14ac:dyDescent="0.3">
      <c r="A12" s="6"/>
      <c r="B12" s="2">
        <v>350</v>
      </c>
      <c r="C12" s="2"/>
      <c r="D12" s="2" t="s">
        <v>139</v>
      </c>
      <c r="E12" s="4">
        <v>0</v>
      </c>
      <c r="F12" s="5">
        <f t="shared" si="0"/>
        <v>0</v>
      </c>
      <c r="G12" s="6"/>
      <c r="H12" s="6"/>
    </row>
    <row r="13" spans="1:9" x14ac:dyDescent="0.3">
      <c r="A13" s="6"/>
      <c r="B13" s="2">
        <v>350</v>
      </c>
      <c r="C13" s="2"/>
      <c r="D13" s="2" t="s">
        <v>140</v>
      </c>
      <c r="E13" s="4">
        <v>2</v>
      </c>
      <c r="F13" s="5">
        <f t="shared" si="0"/>
        <v>0.7</v>
      </c>
      <c r="G13" s="6" t="s">
        <v>152</v>
      </c>
      <c r="H13" s="6"/>
    </row>
    <row r="14" spans="1:9" x14ac:dyDescent="0.3">
      <c r="A14" s="6"/>
      <c r="B14" s="2">
        <v>350</v>
      </c>
      <c r="C14" s="2" t="s">
        <v>62</v>
      </c>
      <c r="D14" s="2" t="s">
        <v>62</v>
      </c>
      <c r="E14" s="4">
        <v>40</v>
      </c>
      <c r="F14" s="5">
        <f t="shared" si="0"/>
        <v>14</v>
      </c>
      <c r="G14" s="6"/>
      <c r="H14" s="6"/>
    </row>
    <row r="15" spans="1:9" x14ac:dyDescent="0.3">
      <c r="A15" s="6"/>
      <c r="B15" s="2">
        <v>350</v>
      </c>
      <c r="C15" s="2" t="s">
        <v>141</v>
      </c>
      <c r="D15" s="2" t="s">
        <v>141</v>
      </c>
      <c r="E15" s="4">
        <v>65</v>
      </c>
      <c r="F15" s="14" t="s">
        <v>142</v>
      </c>
      <c r="G15" s="6"/>
      <c r="H15" s="6"/>
    </row>
    <row r="16" spans="1:9" x14ac:dyDescent="0.3">
      <c r="A16" s="7"/>
      <c r="B16" s="8"/>
      <c r="C16" s="8"/>
      <c r="D16" s="8"/>
      <c r="E16" s="9"/>
      <c r="F16" s="7"/>
      <c r="G16" s="7"/>
      <c r="H16" s="6"/>
    </row>
    <row r="17" spans="1:8" x14ac:dyDescent="0.3">
      <c r="A17" s="3"/>
      <c r="B17" s="2"/>
      <c r="C17" s="2"/>
      <c r="D17" s="2"/>
      <c r="E17" s="4"/>
      <c r="F17" s="14"/>
      <c r="G17" s="6"/>
      <c r="H17" s="6"/>
    </row>
    <row r="18" spans="1:8" x14ac:dyDescent="0.3">
      <c r="A18" s="2"/>
      <c r="B18" s="2"/>
      <c r="C18" s="2"/>
      <c r="D18" s="2"/>
      <c r="E18" s="4"/>
      <c r="F18" s="14"/>
      <c r="G18" s="6"/>
      <c r="H18" s="6"/>
    </row>
    <row r="19" spans="1:8" x14ac:dyDescent="0.3">
      <c r="A19" s="2"/>
      <c r="B19" s="2"/>
      <c r="C19" s="2"/>
      <c r="D19" s="2"/>
      <c r="E19" s="4"/>
      <c r="F19" s="5"/>
      <c r="G19" s="6"/>
      <c r="H19" s="6"/>
    </row>
    <row r="20" spans="1:8" x14ac:dyDescent="0.3">
      <c r="A20" s="6"/>
      <c r="B20" s="2"/>
      <c r="C20" s="2"/>
      <c r="D20" s="2"/>
      <c r="E20" s="4"/>
      <c r="F20" s="5"/>
      <c r="G20" s="6"/>
      <c r="H20" s="6"/>
    </row>
    <row r="21" spans="1:8" x14ac:dyDescent="0.3">
      <c r="A21" s="6"/>
      <c r="B21" s="2"/>
      <c r="C21" s="12"/>
      <c r="D21" s="2"/>
      <c r="E21" s="4"/>
      <c r="F21" s="5"/>
      <c r="G21" s="6"/>
      <c r="H21" s="6"/>
    </row>
    <row r="22" spans="1:8" x14ac:dyDescent="0.3">
      <c r="A22" s="6"/>
      <c r="B22" s="2"/>
      <c r="C22" s="12"/>
      <c r="D22" s="2"/>
      <c r="E22" s="4"/>
      <c r="F22" s="5"/>
      <c r="G22" s="13"/>
      <c r="H22" s="6"/>
    </row>
    <row r="23" spans="1:8" x14ac:dyDescent="0.3">
      <c r="A23" s="6"/>
      <c r="B23" s="2"/>
      <c r="C23" s="2"/>
      <c r="D23" s="2"/>
      <c r="E23" s="4"/>
      <c r="F23" s="5"/>
      <c r="G23" s="6"/>
      <c r="H23" s="6"/>
    </row>
    <row r="24" spans="1:8" x14ac:dyDescent="0.3">
      <c r="A24" s="6"/>
      <c r="B24" s="2"/>
      <c r="C24" s="2"/>
      <c r="D24" s="2"/>
      <c r="E24" s="4"/>
      <c r="F24" s="5"/>
      <c r="G24" s="6"/>
      <c r="H24" s="6"/>
    </row>
    <row r="25" spans="1:8" x14ac:dyDescent="0.3">
      <c r="A25" s="6"/>
      <c r="B25" s="2"/>
      <c r="C25" s="2"/>
      <c r="D25" s="2"/>
      <c r="E25" s="4"/>
      <c r="F25" s="5"/>
      <c r="G25" s="6"/>
      <c r="H25" s="6"/>
    </row>
    <row r="26" spans="1:8" x14ac:dyDescent="0.3">
      <c r="A26" s="7"/>
      <c r="B26" s="8"/>
      <c r="C26" s="8"/>
      <c r="D26" s="8"/>
      <c r="E26" s="9"/>
      <c r="F26" s="10"/>
      <c r="G26" s="7"/>
      <c r="H26" s="6"/>
    </row>
    <row r="27" spans="1:8" x14ac:dyDescent="0.3">
      <c r="A27" s="3"/>
      <c r="B27" s="2"/>
      <c r="C27" s="2"/>
      <c r="D27" s="2"/>
      <c r="E27" s="4"/>
      <c r="F27" s="5"/>
      <c r="G27" s="6"/>
      <c r="H27" s="6"/>
    </row>
    <row r="28" spans="1:8" x14ac:dyDescent="0.3">
      <c r="A28" s="2"/>
      <c r="B28" s="2"/>
      <c r="C28" s="2"/>
      <c r="D28" s="2"/>
      <c r="E28" s="4"/>
      <c r="F28" s="5"/>
      <c r="G28" s="6"/>
      <c r="H28" s="6"/>
    </row>
    <row r="29" spans="1:8" x14ac:dyDescent="0.3">
      <c r="A29" s="2"/>
      <c r="B29" s="2"/>
      <c r="C29" s="2"/>
      <c r="D29" s="2"/>
      <c r="E29" s="4"/>
      <c r="F29" s="5"/>
      <c r="G29" s="6"/>
      <c r="H29" s="6"/>
    </row>
    <row r="30" spans="1:8" x14ac:dyDescent="0.3">
      <c r="A30" s="2"/>
      <c r="B30" s="2"/>
      <c r="C30" s="2"/>
      <c r="D30" s="2"/>
      <c r="E30" s="4"/>
      <c r="F30" s="5"/>
      <c r="G30" s="6"/>
      <c r="H30" s="6"/>
    </row>
    <row r="31" spans="1:8" x14ac:dyDescent="0.3">
      <c r="A31" s="2"/>
      <c r="B31" s="2"/>
      <c r="C31" s="2"/>
      <c r="D31" s="2"/>
      <c r="E31" s="4"/>
      <c r="F31" s="5"/>
      <c r="G31" s="6"/>
      <c r="H31" s="6"/>
    </row>
    <row r="32" spans="1:8" x14ac:dyDescent="0.3">
      <c r="A32" s="2"/>
      <c r="B32" s="2"/>
      <c r="C32" s="2"/>
      <c r="D32" s="2"/>
      <c r="E32" s="4"/>
      <c r="F32" s="5"/>
      <c r="G32" s="6"/>
      <c r="H32" s="6"/>
    </row>
    <row r="33" spans="1:8" x14ac:dyDescent="0.3">
      <c r="A33" s="2"/>
      <c r="B33" s="2"/>
      <c r="C33" s="2"/>
      <c r="D33" s="2"/>
      <c r="E33" s="4"/>
      <c r="F33" s="5"/>
      <c r="G33" s="6"/>
      <c r="H33" s="6"/>
    </row>
    <row r="34" spans="1:8" x14ac:dyDescent="0.3">
      <c r="A34" s="2"/>
      <c r="B34" s="2"/>
      <c r="C34" s="2"/>
      <c r="D34" s="2"/>
      <c r="E34" s="4"/>
      <c r="F34" s="5"/>
      <c r="G34" s="6"/>
      <c r="H34" s="6"/>
    </row>
    <row r="35" spans="1:8" x14ac:dyDescent="0.3">
      <c r="A35" s="2"/>
      <c r="B35" s="2"/>
      <c r="C35" s="2"/>
      <c r="D35" s="2"/>
      <c r="E35" s="4"/>
      <c r="F35" s="5"/>
      <c r="G35" s="6"/>
      <c r="H35" s="6"/>
    </row>
    <row r="36" spans="1:8" x14ac:dyDescent="0.3">
      <c r="A36" s="2"/>
      <c r="B36" s="2"/>
      <c r="C36" s="2"/>
      <c r="D36" s="2"/>
      <c r="E36" s="4"/>
      <c r="F36" s="5"/>
      <c r="G36" s="6"/>
      <c r="H36" s="6"/>
    </row>
    <row r="37" spans="1:8" x14ac:dyDescent="0.3">
      <c r="A37" s="2"/>
      <c r="B37" s="2"/>
      <c r="C37" s="2"/>
      <c r="D37" s="2"/>
      <c r="E37" s="4"/>
      <c r="F37" s="5"/>
      <c r="G37" s="6"/>
      <c r="H37" s="6"/>
    </row>
    <row r="38" spans="1:8" x14ac:dyDescent="0.3">
      <c r="A38" s="2"/>
      <c r="B38" s="2"/>
      <c r="C38" s="2"/>
      <c r="D38" s="2"/>
      <c r="E38" s="4"/>
      <c r="F38" s="5"/>
      <c r="G38" s="6"/>
      <c r="H38" s="6"/>
    </row>
    <row r="39" spans="1:8" x14ac:dyDescent="0.3">
      <c r="A39" s="6"/>
      <c r="B39" s="2"/>
      <c r="C39" s="2"/>
      <c r="D39" s="2"/>
      <c r="E39" s="4"/>
      <c r="F39" s="5"/>
      <c r="G39" s="6"/>
      <c r="H39" s="6"/>
    </row>
    <row r="40" spans="1:8" x14ac:dyDescent="0.3">
      <c r="H40" s="6"/>
    </row>
    <row r="41" spans="1:8" x14ac:dyDescent="0.3">
      <c r="H41" s="6"/>
    </row>
    <row r="42" spans="1:8" x14ac:dyDescent="0.3">
      <c r="H42" s="6"/>
    </row>
    <row r="43" spans="1:8" x14ac:dyDescent="0.3">
      <c r="H43" s="6"/>
    </row>
    <row r="44" spans="1:8" x14ac:dyDescent="0.3">
      <c r="H44" s="6"/>
    </row>
    <row r="45" spans="1:8" x14ac:dyDescent="0.3">
      <c r="H45" s="6"/>
    </row>
    <row r="46" spans="1:8" x14ac:dyDescent="0.3">
      <c r="H46" s="6"/>
    </row>
    <row r="47" spans="1:8" x14ac:dyDescent="0.3">
      <c r="H47" s="6"/>
    </row>
    <row r="48" spans="1:8" x14ac:dyDescent="0.3">
      <c r="H48" s="6"/>
    </row>
  </sheetData>
  <autoFilter ref="A2:G39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cccc</cp:lastModifiedBy>
  <cp:lastPrinted>2014-03-28T08:20:22Z</cp:lastPrinted>
  <dcterms:created xsi:type="dcterms:W3CDTF">2014-03-25T04:02:56Z</dcterms:created>
  <dcterms:modified xsi:type="dcterms:W3CDTF">2014-05-10T10:03:42Z</dcterms:modified>
</cp:coreProperties>
</file>