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0755" windowHeight="4650" activeTab="4"/>
  </bookViews>
  <sheets>
    <sheet name="일" sheetId="1" r:id="rId1"/>
    <sheet name="월" sheetId="4" r:id="rId2"/>
    <sheet name="화" sheetId="5" r:id="rId3"/>
    <sheet name="수" sheetId="6" r:id="rId4"/>
    <sheet name="목" sheetId="7" r:id="rId5"/>
    <sheet name="금" sheetId="8" r:id="rId6"/>
    <sheet name="토" sheetId="9" r:id="rId7"/>
    <sheet name="토 (2)" sheetId="10" r:id="rId8"/>
    <sheet name="Sheet2" sheetId="2" r:id="rId9"/>
    <sheet name="Sheet3" sheetId="3" r:id="rId10"/>
  </sheets>
  <definedNames>
    <definedName name="_xlnm._FilterDatabase" localSheetId="5" hidden="1">금!$A$2:$G$2</definedName>
    <definedName name="_xlnm._FilterDatabase" localSheetId="4" hidden="1">목!$A$2:$G$2</definedName>
    <definedName name="_xlnm._FilterDatabase" localSheetId="3" hidden="1">수!$A$2:$G$2</definedName>
    <definedName name="_xlnm._FilterDatabase" localSheetId="1" hidden="1">월!$A$2:$G$2</definedName>
    <definedName name="_xlnm._FilterDatabase" localSheetId="0" hidden="1">일!$A$2:$G$2</definedName>
    <definedName name="_xlnm._FilterDatabase" localSheetId="6" hidden="1">토!$A$2:$G$2</definedName>
    <definedName name="_xlnm._FilterDatabase" localSheetId="7" hidden="1">'토 (2)'!$A$2:$G$2</definedName>
    <definedName name="_xlnm._FilterDatabase" localSheetId="2" hidden="1">화!$A$2:$G$2</definedName>
  </definedNames>
  <calcPr calcId="125725"/>
</workbook>
</file>

<file path=xl/calcChain.xml><?xml version="1.0" encoding="utf-8"?>
<calcChain xmlns="http://schemas.openxmlformats.org/spreadsheetml/2006/main">
  <c r="F26" i="7"/>
  <c r="F15"/>
  <c r="F8"/>
  <c r="F6"/>
  <c r="F13" i="9"/>
  <c r="F15" i="10"/>
  <c r="F16"/>
  <c r="F17"/>
  <c r="F7"/>
  <c r="F14"/>
  <c r="F13"/>
  <c r="F12"/>
  <c r="F11"/>
  <c r="F10"/>
  <c r="F9"/>
  <c r="F8"/>
  <c r="F6"/>
  <c r="F5"/>
  <c r="F4"/>
  <c r="F3"/>
  <c r="F41" i="9"/>
  <c r="F40"/>
  <c r="F25"/>
  <c r="F42"/>
  <c r="F39"/>
  <c r="F38"/>
  <c r="F37"/>
  <c r="F36"/>
  <c r="F35"/>
  <c r="F34"/>
  <c r="F33"/>
  <c r="F32"/>
  <c r="F31"/>
  <c r="F30"/>
  <c r="F27"/>
  <c r="F26"/>
  <c r="F24"/>
  <c r="F23"/>
  <c r="F22"/>
  <c r="F21"/>
  <c r="F20"/>
  <c r="F18"/>
  <c r="F17"/>
  <c r="F16"/>
  <c r="F14"/>
  <c r="F12"/>
  <c r="F11"/>
  <c r="F10"/>
  <c r="F9"/>
  <c r="F8"/>
  <c r="F7"/>
  <c r="F6"/>
  <c r="F5"/>
  <c r="F4"/>
  <c r="F3"/>
  <c r="F30" i="8"/>
  <c r="F29"/>
  <c r="F28"/>
  <c r="F27"/>
  <c r="F17"/>
  <c r="F16"/>
  <c r="F43"/>
  <c r="F42"/>
  <c r="F41"/>
  <c r="F40"/>
  <c r="F39"/>
  <c r="F38"/>
  <c r="F37"/>
  <c r="F36"/>
  <c r="F35"/>
  <c r="F34"/>
  <c r="F33"/>
  <c r="F26"/>
  <c r="F25"/>
  <c r="F24"/>
  <c r="F23"/>
  <c r="F22"/>
  <c r="F21"/>
  <c r="F20"/>
  <c r="F19"/>
  <c r="F18"/>
  <c r="F15"/>
  <c r="F14"/>
  <c r="F13"/>
  <c r="F12"/>
  <c r="F11"/>
  <c r="F10"/>
  <c r="F9"/>
  <c r="F8"/>
  <c r="F7"/>
  <c r="F6"/>
  <c r="F5"/>
  <c r="F4"/>
  <c r="F3"/>
  <c r="F42" i="7"/>
  <c r="F41"/>
  <c r="F40"/>
  <c r="F31"/>
  <c r="F3"/>
  <c r="F39"/>
  <c r="F38"/>
  <c r="F37"/>
  <c r="F36"/>
  <c r="F35"/>
  <c r="F34"/>
  <c r="F33"/>
  <c r="F32"/>
  <c r="F30"/>
  <c r="F29"/>
  <c r="F27"/>
  <c r="F25"/>
  <c r="F24"/>
  <c r="F23"/>
  <c r="F22"/>
  <c r="F21"/>
  <c r="F20"/>
  <c r="F19"/>
  <c r="F18"/>
  <c r="F17"/>
  <c r="F16"/>
  <c r="F14"/>
  <c r="F13"/>
  <c r="F12"/>
  <c r="F11"/>
  <c r="F10"/>
  <c r="F9"/>
  <c r="F7"/>
  <c r="F5"/>
  <c r="F4"/>
  <c r="F41" i="6"/>
  <c r="F29"/>
  <c r="F28"/>
  <c r="F16"/>
  <c r="F17"/>
  <c r="F18"/>
  <c r="F19"/>
  <c r="F15"/>
  <c r="F43"/>
  <c r="F42"/>
  <c r="F40"/>
  <c r="F39"/>
  <c r="F38"/>
  <c r="F37"/>
  <c r="F36"/>
  <c r="F35"/>
  <c r="F34"/>
  <c r="F33"/>
  <c r="F32"/>
  <c r="F30"/>
  <c r="F27"/>
  <c r="F26"/>
  <c r="F25"/>
  <c r="F24"/>
  <c r="F23"/>
  <c r="F22"/>
  <c r="F21"/>
  <c r="F20"/>
  <c r="F14"/>
  <c r="F13"/>
  <c r="F12"/>
  <c r="F11"/>
  <c r="F10"/>
  <c r="F9"/>
  <c r="F8"/>
  <c r="F7"/>
  <c r="F6"/>
  <c r="F5"/>
  <c r="F4"/>
  <c r="F3"/>
  <c r="F42" i="5"/>
  <c r="F41"/>
  <c r="F39"/>
  <c r="F27"/>
  <c r="F26"/>
  <c r="F17"/>
  <c r="F16"/>
  <c r="F15"/>
  <c r="F43"/>
  <c r="F40"/>
  <c r="F38"/>
  <c r="F37"/>
  <c r="F36"/>
  <c r="F35"/>
  <c r="F34"/>
  <c r="F33"/>
  <c r="F32"/>
  <c r="F31"/>
  <c r="F30"/>
  <c r="F25"/>
  <c r="F24"/>
  <c r="F23"/>
  <c r="F22"/>
  <c r="F21"/>
  <c r="F20"/>
  <c r="F19"/>
  <c r="F14"/>
  <c r="F13"/>
  <c r="F12"/>
  <c r="F11"/>
  <c r="F10"/>
  <c r="F9"/>
  <c r="F8"/>
  <c r="F7"/>
  <c r="F6"/>
  <c r="F5"/>
  <c r="F4"/>
  <c r="F3"/>
  <c r="F27" i="1"/>
  <c r="F20"/>
  <c r="F27" i="4"/>
  <c r="F28"/>
  <c r="F29"/>
  <c r="F30"/>
  <c r="F31"/>
  <c r="F32"/>
  <c r="F33"/>
  <c r="F34"/>
  <c r="F35"/>
  <c r="F36"/>
  <c r="F37"/>
  <c r="F38"/>
  <c r="F39"/>
  <c r="F25"/>
  <c r="F14"/>
  <c r="F13"/>
  <c r="F12"/>
  <c r="F11"/>
  <c r="F10"/>
  <c r="F24"/>
  <c r="F23"/>
  <c r="F22"/>
  <c r="F21"/>
  <c r="F20"/>
  <c r="F19"/>
  <c r="F18"/>
  <c r="F17"/>
  <c r="F16"/>
  <c r="F15"/>
  <c r="F9"/>
  <c r="F8"/>
  <c r="F7"/>
  <c r="F6"/>
  <c r="F5"/>
  <c r="F4"/>
  <c r="F3"/>
  <c r="F29" i="1"/>
  <c r="F28"/>
  <c r="F26"/>
  <c r="F25"/>
  <c r="F24"/>
  <c r="F30"/>
  <c r="F23"/>
  <c r="F22"/>
  <c r="F21"/>
  <c r="F19"/>
  <c r="F18"/>
  <c r="F17"/>
  <c r="F16"/>
  <c r="F15"/>
  <c r="F13"/>
  <c r="F14"/>
  <c r="F11"/>
  <c r="F12"/>
  <c r="F10"/>
  <c r="F9"/>
  <c r="F8"/>
  <c r="F5"/>
  <c r="F6"/>
  <c r="F7"/>
  <c r="F4"/>
  <c r="F3"/>
</calcChain>
</file>

<file path=xl/sharedStrings.xml><?xml version="1.0" encoding="utf-8"?>
<sst xmlns="http://schemas.openxmlformats.org/spreadsheetml/2006/main" count="503" uniqueCount="277">
  <si>
    <t>날짜</t>
    <phoneticPr fontId="1" type="noConversion"/>
  </si>
  <si>
    <t>예상식수</t>
    <phoneticPr fontId="1" type="noConversion"/>
  </si>
  <si>
    <t>메 뉴</t>
    <phoneticPr fontId="1" type="noConversion"/>
  </si>
  <si>
    <t>재료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</si>
  <si>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</si>
  <si>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</si>
  <si>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</si>
  <si>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월</t>
    <phoneticPr fontId="1" type="noConversion"/>
  </si>
  <si>
    <t>양파</t>
    <phoneticPr fontId="1" type="noConversion"/>
  </si>
  <si>
    <t>당근</t>
    <phoneticPr fontId="1" type="noConversion"/>
  </si>
  <si>
    <t>달걀</t>
    <phoneticPr fontId="1" type="noConversion"/>
  </si>
  <si>
    <t>배추김치</t>
    <phoneticPr fontId="1" type="noConversion"/>
  </si>
  <si>
    <t>중식</t>
    <phoneticPr fontId="1" type="noConversion"/>
  </si>
  <si>
    <t>흑미밥</t>
    <phoneticPr fontId="1" type="noConversion"/>
  </si>
  <si>
    <t>흑미</t>
    <phoneticPr fontId="1" type="noConversion"/>
  </si>
  <si>
    <t>조식</t>
    <phoneticPr fontId="1" type="noConversion"/>
  </si>
  <si>
    <t>팽이버섯</t>
    <phoneticPr fontId="1" type="noConversion"/>
  </si>
  <si>
    <t>6봉</t>
    <phoneticPr fontId="1" type="noConversion"/>
  </si>
  <si>
    <t>6/8(일)발주서</t>
    <phoneticPr fontId="1" type="noConversion"/>
  </si>
  <si>
    <t>콩나물국</t>
    <phoneticPr fontId="1" type="noConversion"/>
  </si>
  <si>
    <t>칼슘부추해물전</t>
    <phoneticPr fontId="1" type="noConversion"/>
  </si>
  <si>
    <t>양념깻잎</t>
    <phoneticPr fontId="1" type="noConversion"/>
  </si>
  <si>
    <t>콩나물</t>
    <phoneticPr fontId="1" type="noConversion"/>
  </si>
  <si>
    <t>대파</t>
    <phoneticPr fontId="1" type="noConversion"/>
  </si>
  <si>
    <t>해물전</t>
    <phoneticPr fontId="1" type="noConversion"/>
  </si>
  <si>
    <t>깻잎</t>
    <phoneticPr fontId="1" type="noConversion"/>
  </si>
  <si>
    <t>홍고추</t>
    <phoneticPr fontId="1" type="noConversion"/>
  </si>
  <si>
    <t>쥬시쿨</t>
    <phoneticPr fontId="1" type="noConversion"/>
  </si>
  <si>
    <t>쥬시쿨</t>
    <phoneticPr fontId="1" type="noConversion"/>
  </si>
  <si>
    <t>200개</t>
    <phoneticPr fontId="1" type="noConversion"/>
  </si>
  <si>
    <t>어묵국</t>
    <phoneticPr fontId="1" type="noConversion"/>
  </si>
  <si>
    <t>버섯두부조림</t>
    <phoneticPr fontId="1" type="noConversion"/>
  </si>
  <si>
    <t>훈제오리샐러드</t>
    <phoneticPr fontId="1" type="noConversion"/>
  </si>
  <si>
    <t>부들어묵</t>
    <phoneticPr fontId="1" type="noConversion"/>
  </si>
  <si>
    <t>무</t>
    <phoneticPr fontId="1" type="noConversion"/>
  </si>
  <si>
    <t>쑥갓</t>
    <phoneticPr fontId="1" type="noConversion"/>
  </si>
  <si>
    <t>두부</t>
    <phoneticPr fontId="1" type="noConversion"/>
  </si>
  <si>
    <t>훈제오리</t>
    <phoneticPr fontId="1" type="noConversion"/>
  </si>
  <si>
    <t>양상추</t>
    <phoneticPr fontId="1" type="noConversion"/>
  </si>
  <si>
    <t>치커리</t>
    <phoneticPr fontId="1" type="noConversion"/>
  </si>
  <si>
    <t>방울토마토</t>
    <phoneticPr fontId="1" type="noConversion"/>
  </si>
  <si>
    <t>머스터드소스</t>
    <phoneticPr fontId="1" type="noConversion"/>
  </si>
  <si>
    <t>적채</t>
    <phoneticPr fontId="1" type="noConversion"/>
  </si>
  <si>
    <t>양배추</t>
    <phoneticPr fontId="1" type="noConversion"/>
  </si>
  <si>
    <t>석식</t>
    <phoneticPr fontId="1" type="noConversion"/>
  </si>
  <si>
    <t>수수밥</t>
    <phoneticPr fontId="1" type="noConversion"/>
  </si>
  <si>
    <t>대구탕</t>
    <phoneticPr fontId="1" type="noConversion"/>
  </si>
  <si>
    <t>오징어당면볶음</t>
    <phoneticPr fontId="1" type="noConversion"/>
  </si>
  <si>
    <t>브로컬리초회</t>
    <phoneticPr fontId="1" type="noConversion"/>
  </si>
  <si>
    <t>깍두기</t>
    <phoneticPr fontId="1" type="noConversion"/>
  </si>
  <si>
    <t>수수</t>
    <phoneticPr fontId="1" type="noConversion"/>
  </si>
  <si>
    <t>대구</t>
    <phoneticPr fontId="1" type="noConversion"/>
  </si>
  <si>
    <t>맛김치</t>
    <phoneticPr fontId="1" type="noConversion"/>
  </si>
  <si>
    <t>오징어채</t>
    <phoneticPr fontId="1" type="noConversion"/>
  </si>
  <si>
    <t>당면</t>
    <phoneticPr fontId="1" type="noConversion"/>
  </si>
  <si>
    <t>브로컬리</t>
    <phoneticPr fontId="1" type="noConversion"/>
  </si>
  <si>
    <t>초고추장</t>
    <phoneticPr fontId="1" type="noConversion"/>
  </si>
  <si>
    <t>노랑/빨강파프리카</t>
    <phoneticPr fontId="1" type="noConversion"/>
  </si>
  <si>
    <t>화</t>
    <phoneticPr fontId="1" type="noConversion"/>
  </si>
  <si>
    <t>동태찌개</t>
    <phoneticPr fontId="1" type="noConversion"/>
  </si>
  <si>
    <t>메추리알장조림</t>
    <phoneticPr fontId="1" type="noConversion"/>
  </si>
  <si>
    <t>진미채볶음</t>
    <phoneticPr fontId="1" type="noConversion"/>
  </si>
  <si>
    <t>오렌지</t>
    <phoneticPr fontId="1" type="noConversion"/>
  </si>
  <si>
    <t>동태</t>
    <phoneticPr fontId="1" type="noConversion"/>
  </si>
  <si>
    <t>메추리알</t>
    <phoneticPr fontId="1" type="noConversion"/>
  </si>
  <si>
    <t>꽈배기고추</t>
    <phoneticPr fontId="1" type="noConversion"/>
  </si>
  <si>
    <t>진미채</t>
    <phoneticPr fontId="1" type="noConversion"/>
  </si>
  <si>
    <t>쪽파</t>
    <phoneticPr fontId="1" type="noConversion"/>
  </si>
  <si>
    <t>차조밥</t>
    <phoneticPr fontId="1" type="noConversion"/>
  </si>
  <si>
    <t>닭곰탕</t>
    <phoneticPr fontId="1" type="noConversion"/>
  </si>
  <si>
    <t>갈치카레구이</t>
    <phoneticPr fontId="1" type="noConversion"/>
  </si>
  <si>
    <t>오이새싹샐러드</t>
    <phoneticPr fontId="1" type="noConversion"/>
  </si>
  <si>
    <t>차조</t>
    <phoneticPr fontId="1" type="noConversion"/>
  </si>
  <si>
    <t>통계육</t>
    <phoneticPr fontId="1" type="noConversion"/>
  </si>
  <si>
    <t>갈치</t>
    <phoneticPr fontId="1" type="noConversion"/>
  </si>
  <si>
    <t>카레가루</t>
    <phoneticPr fontId="1" type="noConversion"/>
  </si>
  <si>
    <t>오이</t>
    <phoneticPr fontId="1" type="noConversion"/>
  </si>
  <si>
    <t>새싹</t>
    <phoneticPr fontId="1" type="noConversion"/>
  </si>
  <si>
    <t>노랑파프리카</t>
    <phoneticPr fontId="1" type="noConversion"/>
  </si>
  <si>
    <t>유자소스</t>
    <phoneticPr fontId="1" type="noConversion"/>
  </si>
  <si>
    <t>6/9(월)발주서</t>
    <phoneticPr fontId="1" type="noConversion"/>
  </si>
  <si>
    <t>무</t>
    <phoneticPr fontId="1" type="noConversion"/>
  </si>
  <si>
    <t>노랑파프리카</t>
    <phoneticPr fontId="1" type="noConversion"/>
  </si>
  <si>
    <t>6/10(화)발주서</t>
    <phoneticPr fontId="1" type="noConversion"/>
  </si>
  <si>
    <t>반달루커리덮밥</t>
    <phoneticPr fontId="1" type="noConversion"/>
  </si>
  <si>
    <t>우동국</t>
    <phoneticPr fontId="1" type="noConversion"/>
  </si>
  <si>
    <t>양념만두</t>
    <phoneticPr fontId="1" type="noConversion"/>
  </si>
  <si>
    <t>반달루커리</t>
    <phoneticPr fontId="1" type="noConversion"/>
  </si>
  <si>
    <t>가슴살</t>
    <phoneticPr fontId="1" type="noConversion"/>
  </si>
  <si>
    <t>감자</t>
    <phoneticPr fontId="1" type="noConversion"/>
  </si>
  <si>
    <t>호박</t>
    <phoneticPr fontId="1" type="noConversion"/>
  </si>
  <si>
    <t>우동면</t>
    <phoneticPr fontId="1" type="noConversion"/>
  </si>
  <si>
    <t>가쓰오부스</t>
    <phoneticPr fontId="1" type="noConversion"/>
  </si>
  <si>
    <t>우동건더기</t>
    <phoneticPr fontId="1" type="noConversion"/>
  </si>
  <si>
    <t>교자만두</t>
    <phoneticPr fontId="1" type="noConversion"/>
  </si>
  <si>
    <t>요구르트</t>
    <phoneticPr fontId="1" type="noConversion"/>
  </si>
  <si>
    <t>500개</t>
    <phoneticPr fontId="1" type="noConversion"/>
  </si>
  <si>
    <t>수</t>
    <phoneticPr fontId="1" type="noConversion"/>
  </si>
  <si>
    <t>호박된장국</t>
    <phoneticPr fontId="1" type="noConversion"/>
  </si>
  <si>
    <t>너비아니구이</t>
    <phoneticPr fontId="1" type="noConversion"/>
  </si>
  <si>
    <t>판두부</t>
    <phoneticPr fontId="1" type="noConversion"/>
  </si>
  <si>
    <t>너비아니</t>
    <phoneticPr fontId="1" type="noConversion"/>
  </si>
  <si>
    <t>스테이크소스</t>
    <phoneticPr fontId="1" type="noConversion"/>
  </si>
  <si>
    <t>김자반</t>
    <phoneticPr fontId="1" type="noConversion"/>
  </si>
  <si>
    <t>떠먹는요구르트</t>
    <phoneticPr fontId="1" type="noConversion"/>
  </si>
  <si>
    <t>떠먹는요구르트</t>
    <phoneticPr fontId="1" type="noConversion"/>
  </si>
  <si>
    <t>240개</t>
    <phoneticPr fontId="1" type="noConversion"/>
  </si>
  <si>
    <t>현미밥</t>
    <phoneticPr fontId="1" type="noConversion"/>
  </si>
  <si>
    <t>알탕</t>
    <phoneticPr fontId="1" type="noConversion"/>
  </si>
  <si>
    <t>안동찜닭</t>
    <phoneticPr fontId="1" type="noConversion"/>
  </si>
  <si>
    <t>감자볶음</t>
    <phoneticPr fontId="1" type="noConversion"/>
  </si>
  <si>
    <t>현미</t>
    <phoneticPr fontId="1" type="noConversion"/>
  </si>
  <si>
    <t>냉동곤이</t>
    <phoneticPr fontId="1" type="noConversion"/>
  </si>
  <si>
    <t>냉동명태알</t>
    <phoneticPr fontId="1" type="noConversion"/>
  </si>
  <si>
    <t>계육토막</t>
    <phoneticPr fontId="1" type="noConversion"/>
  </si>
  <si>
    <t>당근</t>
    <phoneticPr fontId="1" type="noConversion"/>
  </si>
  <si>
    <t>홍고추</t>
    <phoneticPr fontId="1" type="noConversion"/>
  </si>
  <si>
    <t>대파적당량</t>
    <phoneticPr fontId="1" type="noConversion"/>
  </si>
  <si>
    <t>당근/양파 각</t>
    <phoneticPr fontId="1" type="noConversion"/>
  </si>
  <si>
    <t>피망/양파 각</t>
    <phoneticPr fontId="1" type="noConversion"/>
  </si>
  <si>
    <t>감자/양파 각</t>
    <phoneticPr fontId="1" type="noConversion"/>
  </si>
  <si>
    <t>6/11(수)발주서</t>
    <phoneticPr fontId="1" type="noConversion"/>
  </si>
  <si>
    <t>쇠고기버섯찌개</t>
    <phoneticPr fontId="1" type="noConversion"/>
  </si>
  <si>
    <t>10팩</t>
    <phoneticPr fontId="1" type="noConversion"/>
  </si>
  <si>
    <t>함박스테이크</t>
    <phoneticPr fontId="1" type="noConversion"/>
  </si>
  <si>
    <t>스테이크소스</t>
    <phoneticPr fontId="1" type="noConversion"/>
  </si>
  <si>
    <t>골뱅이야채무침</t>
    <phoneticPr fontId="1" type="noConversion"/>
  </si>
  <si>
    <t>깍두기</t>
    <phoneticPr fontId="1" type="noConversion"/>
  </si>
  <si>
    <t>우불고기</t>
    <phoneticPr fontId="1" type="noConversion"/>
  </si>
  <si>
    <t>표고버섯캔</t>
    <phoneticPr fontId="1" type="noConversion"/>
  </si>
  <si>
    <t>느타리버섯</t>
    <phoneticPr fontId="1" type="noConversion"/>
  </si>
  <si>
    <t>함박스테이크</t>
    <phoneticPr fontId="1" type="noConversion"/>
  </si>
  <si>
    <t>양송이캔</t>
    <phoneticPr fontId="1" type="noConversion"/>
  </si>
  <si>
    <t>골뱅이</t>
    <phoneticPr fontId="1" type="noConversion"/>
  </si>
  <si>
    <t>깻잎</t>
    <phoneticPr fontId="1" type="noConversion"/>
  </si>
  <si>
    <t>당근/오이 각</t>
    <phoneticPr fontId="1" type="noConversion"/>
  </si>
  <si>
    <t>대파</t>
    <phoneticPr fontId="1" type="noConversion"/>
  </si>
  <si>
    <t>목</t>
    <phoneticPr fontId="1" type="noConversion"/>
  </si>
  <si>
    <t>떡국</t>
    <phoneticPr fontId="1" type="noConversion"/>
  </si>
  <si>
    <t>후랑크멸치볶음</t>
    <phoneticPr fontId="1" type="noConversion"/>
  </si>
  <si>
    <t>버섯볶음</t>
    <phoneticPr fontId="1" type="noConversion"/>
  </si>
  <si>
    <t>기장밥</t>
    <phoneticPr fontId="1" type="noConversion"/>
  </si>
  <si>
    <t>기장</t>
    <phoneticPr fontId="1" type="noConversion"/>
  </si>
  <si>
    <t>부대찌개</t>
    <phoneticPr fontId="1" type="noConversion"/>
  </si>
  <si>
    <t>부대찌개햄</t>
    <phoneticPr fontId="1" type="noConversion"/>
  </si>
  <si>
    <t>떡국떡</t>
    <phoneticPr fontId="1" type="noConversion"/>
  </si>
  <si>
    <t>고등어양념구이</t>
    <phoneticPr fontId="1" type="noConversion"/>
  </si>
  <si>
    <t>고등어</t>
    <phoneticPr fontId="1" type="noConversion"/>
  </si>
  <si>
    <t>양념치킨소스</t>
    <phoneticPr fontId="1" type="noConversion"/>
  </si>
  <si>
    <t>시금치무침</t>
    <phoneticPr fontId="1" type="noConversion"/>
  </si>
  <si>
    <t>시금치</t>
    <phoneticPr fontId="1" type="noConversion"/>
  </si>
  <si>
    <t>우국거리</t>
    <phoneticPr fontId="1" type="noConversion"/>
  </si>
  <si>
    <t>새알옹심이</t>
    <phoneticPr fontId="1" type="noConversion"/>
  </si>
  <si>
    <t>후랑크</t>
    <phoneticPr fontId="1" type="noConversion"/>
  </si>
  <si>
    <t>멸치</t>
    <phoneticPr fontId="1" type="noConversion"/>
  </si>
  <si>
    <t>당근</t>
    <phoneticPr fontId="1" type="noConversion"/>
  </si>
  <si>
    <t>양파</t>
    <phoneticPr fontId="1" type="noConversion"/>
  </si>
  <si>
    <t>팽이버섯/양파</t>
    <phoneticPr fontId="1" type="noConversion"/>
  </si>
  <si>
    <t>두부/양파 각</t>
    <phoneticPr fontId="1" type="noConversion"/>
  </si>
  <si>
    <t>대파적당량</t>
    <phoneticPr fontId="1" type="noConversion"/>
  </si>
  <si>
    <t>6/12(목)발주서</t>
    <phoneticPr fontId="1" type="noConversion"/>
  </si>
  <si>
    <t>수수밥</t>
    <phoneticPr fontId="1" type="noConversion"/>
  </si>
  <si>
    <t>돈육김치찌개</t>
    <phoneticPr fontId="1" type="noConversion"/>
  </si>
  <si>
    <t>무말랭이무침</t>
    <phoneticPr fontId="1" type="noConversion"/>
  </si>
  <si>
    <t>열무김치</t>
    <phoneticPr fontId="1" type="noConversion"/>
  </si>
  <si>
    <t>수수</t>
    <phoneticPr fontId="1" type="noConversion"/>
  </si>
  <si>
    <t>돈육찌개용</t>
    <phoneticPr fontId="1" type="noConversion"/>
  </si>
  <si>
    <t>맛김치</t>
    <phoneticPr fontId="1" type="noConversion"/>
  </si>
  <si>
    <t>양배추</t>
    <phoneticPr fontId="1" type="noConversion"/>
  </si>
  <si>
    <t>무말랭이</t>
    <phoneticPr fontId="1" type="noConversion"/>
  </si>
  <si>
    <t>쪽파</t>
    <phoneticPr fontId="1" type="noConversion"/>
  </si>
  <si>
    <t>금</t>
    <phoneticPr fontId="1" type="noConversion"/>
  </si>
  <si>
    <t>콩국</t>
    <phoneticPr fontId="1" type="noConversion"/>
  </si>
  <si>
    <t>콩가루</t>
    <phoneticPr fontId="1" type="noConversion"/>
  </si>
  <si>
    <t>연두부/양념간장</t>
    <phoneticPr fontId="1" type="noConversion"/>
  </si>
  <si>
    <t>건문어무침</t>
    <phoneticPr fontId="1" type="noConversion"/>
  </si>
  <si>
    <t>연두부</t>
    <phoneticPr fontId="1" type="noConversion"/>
  </si>
  <si>
    <t>양념간장</t>
    <phoneticPr fontId="1" type="noConversion"/>
  </si>
  <si>
    <t>건문어</t>
    <phoneticPr fontId="1" type="noConversion"/>
  </si>
  <si>
    <t>참치야채비빔밥</t>
    <phoneticPr fontId="1" type="noConversion"/>
  </si>
  <si>
    <t>참치</t>
    <phoneticPr fontId="1" type="noConversion"/>
  </si>
  <si>
    <t>상추</t>
    <phoneticPr fontId="1" type="noConversion"/>
  </si>
  <si>
    <t>콩나물</t>
    <phoneticPr fontId="1" type="noConversion"/>
  </si>
  <si>
    <t>(대접)</t>
    <phoneticPr fontId="1" type="noConversion"/>
  </si>
  <si>
    <t>미역국</t>
    <phoneticPr fontId="1" type="noConversion"/>
  </si>
  <si>
    <t>건미역</t>
    <phoneticPr fontId="1" type="noConversion"/>
  </si>
  <si>
    <t>우둔국거리</t>
    <phoneticPr fontId="1" type="noConversion"/>
  </si>
  <si>
    <t>스위트콘오븐구이</t>
    <phoneticPr fontId="1" type="noConversion"/>
  </si>
  <si>
    <t>스위트콘</t>
    <phoneticPr fontId="1" type="noConversion"/>
  </si>
  <si>
    <t>쵸핑햄</t>
    <phoneticPr fontId="1" type="noConversion"/>
  </si>
  <si>
    <t>마요네즈</t>
    <phoneticPr fontId="1" type="noConversion"/>
  </si>
  <si>
    <t>피자치즈</t>
    <phoneticPr fontId="1" type="noConversion"/>
  </si>
  <si>
    <t>요구르트</t>
    <phoneticPr fontId="1" type="noConversion"/>
  </si>
  <si>
    <t>450개</t>
    <phoneticPr fontId="1" type="noConversion"/>
  </si>
  <si>
    <t>/고추장</t>
    <phoneticPr fontId="1" type="noConversion"/>
  </si>
  <si>
    <t>6/13(금)발주서</t>
    <phoneticPr fontId="1" type="noConversion"/>
  </si>
  <si>
    <t>검은콩밥</t>
    <phoneticPr fontId="1" type="noConversion"/>
  </si>
  <si>
    <t>꽃게탕</t>
    <phoneticPr fontId="1" type="noConversion"/>
  </si>
  <si>
    <t>검은콩</t>
    <phoneticPr fontId="1" type="noConversion"/>
  </si>
  <si>
    <t>어묵조림</t>
    <phoneticPr fontId="1" type="noConversion"/>
  </si>
  <si>
    <t>애호박볶음</t>
    <phoneticPr fontId="1" type="noConversion"/>
  </si>
  <si>
    <t>꽃게</t>
    <phoneticPr fontId="1" type="noConversion"/>
  </si>
  <si>
    <t>두절콩나물</t>
    <phoneticPr fontId="1" type="noConversion"/>
  </si>
  <si>
    <t>미나리</t>
    <phoneticPr fontId="1" type="noConversion"/>
  </si>
  <si>
    <t>봉어묵</t>
    <phoneticPr fontId="1" type="noConversion"/>
  </si>
  <si>
    <t>사각어묵</t>
    <phoneticPr fontId="1" type="noConversion"/>
  </si>
  <si>
    <t>양파</t>
    <phoneticPr fontId="1" type="noConversion"/>
  </si>
  <si>
    <t>피망</t>
    <phoneticPr fontId="1" type="noConversion"/>
  </si>
  <si>
    <t>애호박</t>
    <phoneticPr fontId="1" type="noConversion"/>
  </si>
  <si>
    <t>새우젓</t>
    <phoneticPr fontId="1" type="noConversion"/>
  </si>
  <si>
    <t>당근</t>
    <phoneticPr fontId="1" type="noConversion"/>
  </si>
  <si>
    <t>토</t>
    <phoneticPr fontId="1" type="noConversion"/>
  </si>
  <si>
    <t>순두부찌개</t>
    <phoneticPr fontId="1" type="noConversion"/>
  </si>
  <si>
    <t>스팸달걀찜</t>
    <phoneticPr fontId="1" type="noConversion"/>
  </si>
  <si>
    <t>순두부</t>
    <phoneticPr fontId="1" type="noConversion"/>
  </si>
  <si>
    <t>계란</t>
    <phoneticPr fontId="1" type="noConversion"/>
  </si>
  <si>
    <t>호박</t>
    <phoneticPr fontId="1" type="noConversion"/>
  </si>
  <si>
    <t>고추기름</t>
    <phoneticPr fontId="1" type="noConversion"/>
  </si>
  <si>
    <t>스팸</t>
    <phoneticPr fontId="1" type="noConversion"/>
  </si>
  <si>
    <t>참치김치볶음</t>
    <phoneticPr fontId="1" type="noConversion"/>
  </si>
  <si>
    <t>김구이</t>
    <phoneticPr fontId="1" type="noConversion"/>
  </si>
  <si>
    <t>100개</t>
    <phoneticPr fontId="1" type="noConversion"/>
  </si>
  <si>
    <t>유부된장국</t>
    <phoneticPr fontId="1" type="noConversion"/>
  </si>
  <si>
    <t>유부</t>
    <phoneticPr fontId="1" type="noConversion"/>
  </si>
  <si>
    <t>코다리강정</t>
    <phoneticPr fontId="1" type="noConversion"/>
  </si>
  <si>
    <t>삼색묵/양념간장</t>
    <phoneticPr fontId="1" type="noConversion"/>
  </si>
  <si>
    <t>코다리</t>
    <phoneticPr fontId="1" type="noConversion"/>
  </si>
  <si>
    <t>튀김가루</t>
    <phoneticPr fontId="1" type="noConversion"/>
  </si>
  <si>
    <t>치킨소스</t>
    <phoneticPr fontId="1" type="noConversion"/>
  </si>
  <si>
    <t>땅콩</t>
    <phoneticPr fontId="1" type="noConversion"/>
  </si>
  <si>
    <t>식용유</t>
    <phoneticPr fontId="1" type="noConversion"/>
  </si>
  <si>
    <t>삼색묵</t>
    <phoneticPr fontId="1" type="noConversion"/>
  </si>
  <si>
    <t>6/14(토)발주서</t>
    <phoneticPr fontId="1" type="noConversion"/>
  </si>
  <si>
    <t>등뼈감자탕</t>
    <phoneticPr fontId="1" type="noConversion"/>
  </si>
  <si>
    <t>고구마사과샐러드</t>
    <phoneticPr fontId="1" type="noConversion"/>
  </si>
  <si>
    <t>와플</t>
    <phoneticPr fontId="1" type="noConversion"/>
  </si>
  <si>
    <t>돈육등뼈</t>
    <phoneticPr fontId="1" type="noConversion"/>
  </si>
  <si>
    <t>깻잎순</t>
    <phoneticPr fontId="1" type="noConversion"/>
  </si>
  <si>
    <t>들깨가루</t>
    <phoneticPr fontId="1" type="noConversion"/>
  </si>
  <si>
    <t>고구마</t>
    <phoneticPr fontId="1" type="noConversion"/>
  </si>
  <si>
    <t>사과</t>
    <phoneticPr fontId="1" type="noConversion"/>
  </si>
  <si>
    <t>일</t>
    <phoneticPr fontId="1" type="noConversion"/>
  </si>
  <si>
    <t>모닝빵/잼</t>
    <phoneticPr fontId="1" type="noConversion"/>
  </si>
  <si>
    <t>우유</t>
    <phoneticPr fontId="1" type="noConversion"/>
  </si>
  <si>
    <t>모닝빵</t>
    <phoneticPr fontId="1" type="noConversion"/>
  </si>
  <si>
    <t>쨈</t>
    <phoneticPr fontId="1" type="noConversion"/>
  </si>
  <si>
    <t>단호박죽</t>
    <phoneticPr fontId="1" type="noConversion"/>
  </si>
  <si>
    <t>꽃맛살샐러드</t>
    <phoneticPr fontId="1" type="noConversion"/>
  </si>
  <si>
    <t>바나나</t>
    <phoneticPr fontId="1" type="noConversion"/>
  </si>
  <si>
    <t>우유</t>
    <phoneticPr fontId="1" type="noConversion"/>
  </si>
  <si>
    <t>단호박</t>
    <phoneticPr fontId="1" type="noConversion"/>
  </si>
  <si>
    <t>찹쌀가루</t>
    <phoneticPr fontId="1" type="noConversion"/>
  </si>
  <si>
    <t>꽃맛살</t>
    <phoneticPr fontId="1" type="noConversion"/>
  </si>
  <si>
    <t>브로콜리</t>
    <phoneticPr fontId="1" type="noConversion"/>
  </si>
  <si>
    <t>옥수수캔</t>
    <phoneticPr fontId="1" type="noConversion"/>
  </si>
  <si>
    <t>아일랜드드레싱</t>
    <phoneticPr fontId="1" type="noConversion"/>
  </si>
  <si>
    <t>2박스</t>
    <phoneticPr fontId="1" type="noConversion"/>
  </si>
  <si>
    <t>배추국</t>
    <phoneticPr fontId="1" type="noConversion"/>
  </si>
  <si>
    <t>비엔나케첩조림</t>
    <phoneticPr fontId="1" type="noConversion"/>
  </si>
  <si>
    <t>미역줄기볶음</t>
    <phoneticPr fontId="1" type="noConversion"/>
  </si>
  <si>
    <t>통배추</t>
    <phoneticPr fontId="1" type="noConversion"/>
  </si>
  <si>
    <t>비엔나</t>
    <phoneticPr fontId="1" type="noConversion"/>
  </si>
  <si>
    <t>케첩</t>
    <phoneticPr fontId="1" type="noConversion"/>
  </si>
  <si>
    <t>청피망</t>
    <phoneticPr fontId="1" type="noConversion"/>
  </si>
  <si>
    <t>미역줄기</t>
    <phoneticPr fontId="1" type="noConversion"/>
  </si>
  <si>
    <t>닭갈비덮밥</t>
    <phoneticPr fontId="1" type="noConversion"/>
  </si>
  <si>
    <t>다리살</t>
    <phoneticPr fontId="1" type="noConversion"/>
  </si>
  <si>
    <t>떡복이떡</t>
    <phoneticPr fontId="1" type="noConversion"/>
  </si>
  <si>
    <t>김가루</t>
    <phoneticPr fontId="1" type="noConversion"/>
  </si>
  <si>
    <t>들깨무채국</t>
    <phoneticPr fontId="1" type="noConversion"/>
  </si>
  <si>
    <t>감자고로케</t>
    <phoneticPr fontId="1" type="noConversion"/>
  </si>
  <si>
    <t>건포도</t>
    <phoneticPr fontId="1" type="noConversion"/>
  </si>
  <si>
    <t>250개</t>
    <phoneticPr fontId="1" type="noConversion"/>
  </si>
  <si>
    <t>두부</t>
    <phoneticPr fontId="1" type="noConversion"/>
  </si>
  <si>
    <t>홍고추</t>
    <phoneticPr fontId="1" type="noConversion"/>
  </si>
  <si>
    <t>우불고기(전지)</t>
    <phoneticPr fontId="1" type="noConversion"/>
  </si>
  <si>
    <t>적당량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</si>
</sst>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g&quot;"/>
    <numFmt numFmtId="178" formatCode="General\ &quot;kg&quot;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178" fontId="0" fillId="2" borderId="1" xfId="0" applyNumberFormat="1" applyFill="1" applyBorder="1">
      <alignment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178" fontId="0" fillId="0" borderId="1" xfId="0" applyNumberFormat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workbookViewId="0">
      <selection activeCell="K13" sqref="K13"/>
    </sheetView>
  </sheetViews>
  <sheetFormatPr defaultRowHeight="16.5"/>
  <cols>
    <col min="1" max="1" width="7.25" customWidth="1"/>
    <col min="2" max="2" width="7.625" customWidth="1"/>
    <col min="3" max="3" width="15" customWidth="1"/>
    <col min="4" max="4" width="14.75" customWidth="1"/>
    <col min="8" max="8" width="0.375" customWidth="1"/>
  </cols>
  <sheetData>
    <row r="1" spans="1:9" ht="26.25" customHeight="1">
      <c r="A1" s="12" t="s">
        <v>18</v>
      </c>
      <c r="B1" s="13"/>
      <c r="C1" s="13"/>
      <c r="D1" s="13"/>
      <c r="E1" s="13"/>
      <c r="F1" s="13"/>
      <c r="G1" s="13"/>
      <c r="H1" s="14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41798</v>
      </c>
      <c r="B3" s="2">
        <v>200</v>
      </c>
      <c r="C3" s="2" t="s">
        <v>19</v>
      </c>
      <c r="D3" s="2" t="s">
        <v>22</v>
      </c>
      <c r="E3" s="5">
        <v>40</v>
      </c>
      <c r="F3" s="6">
        <f>(B3*E3)/1000</f>
        <v>8</v>
      </c>
      <c r="G3" s="4"/>
      <c r="H3" s="4"/>
    </row>
    <row r="4" spans="1:9">
      <c r="A4" s="2" t="s">
        <v>7</v>
      </c>
      <c r="B4" s="2">
        <v>200</v>
      </c>
      <c r="C4" s="2"/>
      <c r="D4" s="2" t="s">
        <v>23</v>
      </c>
      <c r="E4" s="5">
        <v>2</v>
      </c>
      <c r="F4" s="6">
        <f>(B4*E4)/1000</f>
        <v>0.4</v>
      </c>
      <c r="G4" s="4"/>
      <c r="H4" s="4"/>
    </row>
    <row r="5" spans="1:9">
      <c r="A5" s="2" t="s">
        <v>15</v>
      </c>
      <c r="B5" s="2">
        <v>200</v>
      </c>
      <c r="C5" s="2" t="s">
        <v>20</v>
      </c>
      <c r="D5" s="2" t="s">
        <v>24</v>
      </c>
      <c r="E5" s="5">
        <v>80</v>
      </c>
      <c r="F5" s="6">
        <f t="shared" ref="F5:F30" si="0">(B5*E5)/1000</f>
        <v>16</v>
      </c>
      <c r="G5" s="4"/>
      <c r="H5" s="4"/>
    </row>
    <row r="6" spans="1:9">
      <c r="A6" s="2"/>
      <c r="B6" s="2">
        <v>200</v>
      </c>
      <c r="C6" s="2"/>
      <c r="D6" s="2" t="s">
        <v>10</v>
      </c>
      <c r="E6" s="5">
        <v>10</v>
      </c>
      <c r="F6" s="6">
        <f t="shared" si="0"/>
        <v>2</v>
      </c>
      <c r="G6" s="4"/>
      <c r="H6" s="4"/>
    </row>
    <row r="7" spans="1:9">
      <c r="A7" s="2"/>
      <c r="B7" s="2">
        <v>200</v>
      </c>
      <c r="C7" s="2" t="s">
        <v>21</v>
      </c>
      <c r="D7" s="2" t="s">
        <v>25</v>
      </c>
      <c r="E7" s="5">
        <v>15</v>
      </c>
      <c r="F7" s="6">
        <f t="shared" si="0"/>
        <v>3</v>
      </c>
      <c r="G7" s="4"/>
      <c r="H7" s="4"/>
    </row>
    <row r="8" spans="1:9">
      <c r="A8" s="2"/>
      <c r="B8" s="2">
        <v>200</v>
      </c>
      <c r="C8" s="2"/>
      <c r="D8" s="2" t="s">
        <v>26</v>
      </c>
      <c r="E8" s="5">
        <v>1</v>
      </c>
      <c r="F8" s="6">
        <f t="shared" si="0"/>
        <v>0.2</v>
      </c>
      <c r="G8" s="4"/>
      <c r="H8" s="4"/>
    </row>
    <row r="9" spans="1:9">
      <c r="A9" s="2"/>
      <c r="B9" s="2">
        <v>200</v>
      </c>
      <c r="C9" s="2"/>
      <c r="D9" s="2" t="s">
        <v>9</v>
      </c>
      <c r="E9" s="5">
        <v>5</v>
      </c>
      <c r="F9" s="6">
        <f t="shared" si="0"/>
        <v>1</v>
      </c>
      <c r="G9" s="4"/>
      <c r="H9" s="4"/>
    </row>
    <row r="10" spans="1:9">
      <c r="A10" s="2"/>
      <c r="B10" s="2">
        <v>200</v>
      </c>
      <c r="C10" s="2"/>
      <c r="D10" s="2" t="s">
        <v>8</v>
      </c>
      <c r="E10" s="5">
        <v>5</v>
      </c>
      <c r="F10" s="6">
        <f t="shared" si="0"/>
        <v>1</v>
      </c>
      <c r="G10" s="4"/>
      <c r="H10" s="4"/>
    </row>
    <row r="11" spans="1:9">
      <c r="A11" s="2"/>
      <c r="B11" s="2">
        <v>200</v>
      </c>
      <c r="C11" s="2" t="s">
        <v>11</v>
      </c>
      <c r="D11" s="2" t="s">
        <v>11</v>
      </c>
      <c r="E11" s="5">
        <v>40</v>
      </c>
      <c r="F11" s="6">
        <f t="shared" si="0"/>
        <v>8</v>
      </c>
      <c r="G11" s="4"/>
      <c r="H11" s="4"/>
    </row>
    <row r="12" spans="1:9">
      <c r="A12" s="2"/>
      <c r="B12" s="2">
        <v>200</v>
      </c>
      <c r="C12" s="2" t="s">
        <v>27</v>
      </c>
      <c r="D12" s="2" t="s">
        <v>28</v>
      </c>
      <c r="E12" s="5">
        <v>100</v>
      </c>
      <c r="F12" s="6">
        <f t="shared" si="0"/>
        <v>20</v>
      </c>
      <c r="G12" s="4" t="s">
        <v>29</v>
      </c>
      <c r="H12" s="4"/>
    </row>
    <row r="13" spans="1:9">
      <c r="A13" s="10"/>
      <c r="B13" s="10"/>
      <c r="C13" s="10"/>
      <c r="D13" s="10"/>
      <c r="E13" s="7"/>
      <c r="F13" s="8">
        <f t="shared" si="0"/>
        <v>0</v>
      </c>
      <c r="G13" s="7"/>
      <c r="H13" s="4"/>
    </row>
    <row r="14" spans="1:9">
      <c r="A14" s="3">
        <v>41798</v>
      </c>
      <c r="B14" s="2">
        <v>480</v>
      </c>
      <c r="C14" s="2" t="s">
        <v>13</v>
      </c>
      <c r="D14" s="2" t="s">
        <v>14</v>
      </c>
      <c r="E14" s="5">
        <v>2</v>
      </c>
      <c r="F14" s="6">
        <f t="shared" si="0"/>
        <v>0.96</v>
      </c>
      <c r="G14" s="4"/>
      <c r="H14" s="4"/>
    </row>
    <row r="15" spans="1:9">
      <c r="A15" s="2" t="s">
        <v>7</v>
      </c>
      <c r="B15" s="2">
        <v>480</v>
      </c>
      <c r="C15" s="2" t="s">
        <v>30</v>
      </c>
      <c r="D15" s="2" t="s">
        <v>33</v>
      </c>
      <c r="E15" s="5">
        <v>20</v>
      </c>
      <c r="F15" s="6">
        <f t="shared" si="0"/>
        <v>9.6</v>
      </c>
      <c r="G15" s="4"/>
      <c r="H15" s="4"/>
    </row>
    <row r="16" spans="1:9">
      <c r="A16" s="2" t="s">
        <v>12</v>
      </c>
      <c r="B16" s="2">
        <v>480</v>
      </c>
      <c r="C16" s="2"/>
      <c r="D16" s="2" t="s">
        <v>34</v>
      </c>
      <c r="E16" s="5">
        <v>20</v>
      </c>
      <c r="F16" s="6">
        <f t="shared" si="0"/>
        <v>9.6</v>
      </c>
      <c r="G16" s="4"/>
      <c r="H16" s="4"/>
    </row>
    <row r="17" spans="1:8">
      <c r="A17" s="9"/>
      <c r="B17" s="2">
        <v>480</v>
      </c>
      <c r="C17" s="2"/>
      <c r="D17" s="2" t="s">
        <v>35</v>
      </c>
      <c r="E17" s="5">
        <v>5</v>
      </c>
      <c r="F17" s="6">
        <f t="shared" si="0"/>
        <v>2.4</v>
      </c>
      <c r="G17" s="4"/>
      <c r="H17" s="4"/>
    </row>
    <row r="18" spans="1:8">
      <c r="A18" s="9"/>
      <c r="B18" s="2">
        <v>480</v>
      </c>
      <c r="C18" s="2" t="s">
        <v>31</v>
      </c>
      <c r="D18" s="2" t="s">
        <v>36</v>
      </c>
      <c r="E18" s="5">
        <v>100</v>
      </c>
      <c r="F18" s="6">
        <f t="shared" si="0"/>
        <v>48</v>
      </c>
      <c r="G18" s="4"/>
      <c r="H18" s="4"/>
    </row>
    <row r="19" spans="1:8">
      <c r="A19" s="9"/>
      <c r="B19" s="2">
        <v>480</v>
      </c>
      <c r="C19" s="2"/>
      <c r="D19" s="2" t="s">
        <v>16</v>
      </c>
      <c r="E19" s="5">
        <v>20</v>
      </c>
      <c r="F19" s="6">
        <f t="shared" si="0"/>
        <v>9.6</v>
      </c>
      <c r="G19" s="4"/>
      <c r="H19" s="4"/>
    </row>
    <row r="20" spans="1:8">
      <c r="A20" s="9"/>
      <c r="B20" s="2">
        <v>480</v>
      </c>
      <c r="C20" s="2"/>
      <c r="D20" s="2" t="s">
        <v>81</v>
      </c>
      <c r="E20" s="5">
        <v>10</v>
      </c>
      <c r="F20" s="6">
        <f t="shared" si="0"/>
        <v>4.8</v>
      </c>
      <c r="G20" s="4"/>
      <c r="H20" s="4"/>
    </row>
    <row r="21" spans="1:8">
      <c r="A21" s="9"/>
      <c r="B21" s="2">
        <v>480</v>
      </c>
      <c r="C21" s="2"/>
      <c r="D21" s="2" t="s">
        <v>8</v>
      </c>
      <c r="E21" s="5">
        <v>15</v>
      </c>
      <c r="F21" s="6">
        <f t="shared" si="0"/>
        <v>7.2</v>
      </c>
      <c r="G21" s="4"/>
      <c r="H21" s="4"/>
    </row>
    <row r="22" spans="1:8">
      <c r="A22" s="9"/>
      <c r="B22" s="2">
        <v>480</v>
      </c>
      <c r="C22" s="2" t="s">
        <v>32</v>
      </c>
      <c r="D22" s="2" t="s">
        <v>37</v>
      </c>
      <c r="E22" s="5">
        <v>80</v>
      </c>
      <c r="F22" s="6">
        <f t="shared" si="0"/>
        <v>38.4</v>
      </c>
      <c r="G22" s="4"/>
      <c r="H22" s="4"/>
    </row>
    <row r="23" spans="1:8">
      <c r="A23" s="9"/>
      <c r="B23" s="2">
        <v>480</v>
      </c>
      <c r="C23" s="2"/>
      <c r="D23" s="2" t="s">
        <v>38</v>
      </c>
      <c r="E23" s="5">
        <v>10</v>
      </c>
      <c r="F23" s="6">
        <f t="shared" si="0"/>
        <v>4.8</v>
      </c>
      <c r="G23" s="4"/>
      <c r="H23" s="4"/>
    </row>
    <row r="24" spans="1:8">
      <c r="A24" s="9"/>
      <c r="B24" s="2">
        <v>480</v>
      </c>
      <c r="C24" s="2"/>
      <c r="D24" s="2" t="s">
        <v>39</v>
      </c>
      <c r="E24" s="5">
        <v>10</v>
      </c>
      <c r="F24" s="6">
        <f t="shared" si="0"/>
        <v>4.8</v>
      </c>
      <c r="G24" s="4"/>
      <c r="H24" s="4"/>
    </row>
    <row r="25" spans="1:8">
      <c r="A25" s="9"/>
      <c r="B25" s="2">
        <v>480</v>
      </c>
      <c r="C25" s="2"/>
      <c r="D25" s="2" t="s">
        <v>40</v>
      </c>
      <c r="E25" s="5">
        <v>10</v>
      </c>
      <c r="F25" s="6">
        <f t="shared" si="0"/>
        <v>4.8</v>
      </c>
      <c r="G25" s="4"/>
      <c r="H25" s="4"/>
    </row>
    <row r="26" spans="1:8">
      <c r="A26" s="9"/>
      <c r="B26" s="2">
        <v>480</v>
      </c>
      <c r="C26" s="2"/>
      <c r="D26" s="2" t="s">
        <v>42</v>
      </c>
      <c r="E26" s="5">
        <v>5</v>
      </c>
      <c r="F26" s="6">
        <f t="shared" si="0"/>
        <v>2.4</v>
      </c>
      <c r="G26" s="4"/>
      <c r="H26" s="4"/>
    </row>
    <row r="27" spans="1:8">
      <c r="A27" s="9"/>
      <c r="B27" s="2">
        <v>480</v>
      </c>
      <c r="C27" s="2"/>
      <c r="D27" s="2" t="s">
        <v>82</v>
      </c>
      <c r="E27" s="5">
        <v>5</v>
      </c>
      <c r="F27" s="6">
        <f t="shared" si="0"/>
        <v>2.4</v>
      </c>
      <c r="G27" s="4"/>
      <c r="H27" s="4"/>
    </row>
    <row r="28" spans="1:8">
      <c r="A28" s="9"/>
      <c r="B28" s="2">
        <v>480</v>
      </c>
      <c r="C28" s="2"/>
      <c r="D28" s="2" t="s">
        <v>43</v>
      </c>
      <c r="E28" s="5">
        <v>10</v>
      </c>
      <c r="F28" s="6">
        <f t="shared" si="0"/>
        <v>4.8</v>
      </c>
      <c r="G28" s="4"/>
      <c r="H28" s="4"/>
    </row>
    <row r="29" spans="1:8">
      <c r="A29" s="9"/>
      <c r="B29" s="2">
        <v>480</v>
      </c>
      <c r="C29" s="2"/>
      <c r="D29" s="2" t="s">
        <v>41</v>
      </c>
      <c r="E29" s="5">
        <v>30</v>
      </c>
      <c r="F29" s="6">
        <f t="shared" si="0"/>
        <v>14.4</v>
      </c>
      <c r="G29" s="4"/>
      <c r="H29" s="4"/>
    </row>
    <row r="30" spans="1:8">
      <c r="A30" s="9"/>
      <c r="B30" s="2">
        <v>480</v>
      </c>
      <c r="C30" s="2" t="s">
        <v>11</v>
      </c>
      <c r="D30" s="2" t="s">
        <v>11</v>
      </c>
      <c r="E30" s="5">
        <v>40</v>
      </c>
      <c r="F30" s="6">
        <f t="shared" si="0"/>
        <v>19.2</v>
      </c>
      <c r="G30" s="4"/>
      <c r="H30" s="4"/>
    </row>
    <row r="31" spans="1:8">
      <c r="A31" s="7"/>
      <c r="B31" s="7"/>
      <c r="C31" s="7"/>
      <c r="D31" s="7"/>
      <c r="E31" s="7"/>
      <c r="F31" s="7"/>
      <c r="G31" s="7"/>
      <c r="H31" s="4"/>
    </row>
    <row r="32" spans="1:8">
      <c r="A32" s="4"/>
      <c r="B32" s="4"/>
      <c r="C32" s="4"/>
      <c r="D32" s="4"/>
      <c r="E32" s="4"/>
      <c r="F32" s="4"/>
      <c r="G32" s="4"/>
      <c r="H32" s="4"/>
    </row>
    <row r="33" spans="1:8">
      <c r="A33" s="4"/>
      <c r="B33" s="4"/>
      <c r="C33" s="4"/>
      <c r="D33" s="4"/>
      <c r="E33" s="4"/>
      <c r="F33" s="4"/>
      <c r="G33" s="4"/>
      <c r="H33" s="4"/>
    </row>
    <row r="34" spans="1:8">
      <c r="A34" s="4"/>
      <c r="B34" s="4"/>
      <c r="C34" s="4"/>
      <c r="D34" s="4"/>
      <c r="E34" s="4"/>
      <c r="F34" s="4"/>
      <c r="G34" s="4"/>
      <c r="H34" s="4"/>
    </row>
    <row r="35" spans="1:8">
      <c r="A35" s="4"/>
      <c r="B35" s="4"/>
      <c r="C35" s="4"/>
      <c r="D35" s="4"/>
      <c r="E35" s="4"/>
      <c r="F35" s="4"/>
      <c r="G35" s="4"/>
      <c r="H35" s="4"/>
    </row>
    <row r="36" spans="1:8">
      <c r="A36" s="4"/>
      <c r="B36" s="4"/>
      <c r="C36" s="4"/>
      <c r="D36" s="4"/>
      <c r="E36" s="4"/>
      <c r="F36" s="4"/>
      <c r="G36" s="4"/>
      <c r="H36" s="4"/>
    </row>
    <row r="37" spans="1:8">
      <c r="A37" s="4"/>
      <c r="B37" s="4"/>
      <c r="C37" s="4"/>
      <c r="D37" s="4"/>
      <c r="E37" s="4"/>
      <c r="F37" s="4"/>
      <c r="G37" s="4"/>
      <c r="H37" s="4"/>
    </row>
    <row r="38" spans="1:8">
      <c r="A38" s="4"/>
      <c r="B38" s="4"/>
      <c r="C38" s="4"/>
      <c r="D38" s="4"/>
      <c r="E38" s="4"/>
      <c r="F38" s="4"/>
      <c r="G38" s="4"/>
      <c r="H38" s="4"/>
    </row>
    <row r="39" spans="1:8">
      <c r="A39" s="4"/>
      <c r="B39" s="4"/>
      <c r="C39" s="4"/>
      <c r="D39" s="4"/>
      <c r="E39" s="4"/>
      <c r="F39" s="4"/>
      <c r="G39" s="4"/>
      <c r="H39" s="4"/>
    </row>
    <row r="40" spans="1:8">
      <c r="A40" s="4"/>
      <c r="B40" s="4"/>
      <c r="C40" s="4"/>
      <c r="D40" s="4"/>
      <c r="E40" s="4"/>
      <c r="F40" s="4"/>
      <c r="G40" s="4"/>
      <c r="H40" s="4"/>
    </row>
    <row r="41" spans="1:8">
      <c r="A41" s="4"/>
      <c r="B41" s="4"/>
      <c r="C41" s="4"/>
      <c r="D41" s="4"/>
      <c r="E41" s="4"/>
      <c r="F41" s="4"/>
      <c r="G41" s="4"/>
      <c r="H41" s="4"/>
    </row>
    <row r="42" spans="1:8">
      <c r="A42" s="4"/>
      <c r="B42" s="4"/>
      <c r="C42" s="4"/>
      <c r="D42" s="4"/>
      <c r="E42" s="4"/>
      <c r="F42" s="4"/>
      <c r="G42" s="4"/>
      <c r="H42" s="4"/>
    </row>
    <row r="43" spans="1:8">
      <c r="A43" s="4"/>
      <c r="B43" s="4"/>
      <c r="C43" s="4"/>
      <c r="D43" s="4"/>
      <c r="E43" s="4"/>
      <c r="F43" s="4"/>
      <c r="G43" s="4"/>
      <c r="H43" s="4"/>
    </row>
    <row r="44" spans="1:8">
      <c r="A44" s="4"/>
      <c r="B44" s="4"/>
      <c r="C44" s="4"/>
      <c r="D44" s="4"/>
      <c r="E44" s="4"/>
      <c r="F44" s="4"/>
      <c r="G44" s="4"/>
      <c r="H44" s="4"/>
    </row>
    <row r="45" spans="1:8">
      <c r="A45" s="4"/>
      <c r="B45" s="4"/>
      <c r="C45" s="4"/>
      <c r="D45" s="4"/>
      <c r="E45" s="4"/>
      <c r="F45" s="4"/>
      <c r="G45" s="4"/>
      <c r="H45" s="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0"/>
  <sheetViews>
    <sheetView topLeftCell="A8" workbookViewId="0">
      <selection activeCell="G34" sqref="G34"/>
    </sheetView>
  </sheetViews>
  <sheetFormatPr defaultRowHeight="16.5"/>
  <cols>
    <col min="1" max="1" width="5.25" customWidth="1"/>
    <col min="2" max="2" width="7.625" customWidth="1"/>
    <col min="3" max="3" width="14.25" customWidth="1"/>
    <col min="4" max="4" width="17.375" customWidth="1"/>
    <col min="8" max="8" width="0.375" customWidth="1"/>
  </cols>
  <sheetData>
    <row r="1" spans="1:9" ht="26.25" customHeight="1">
      <c r="A1" s="12" t="s">
        <v>80</v>
      </c>
      <c r="B1" s="13"/>
      <c r="C1" s="13"/>
      <c r="D1" s="13"/>
      <c r="E1" s="13"/>
      <c r="F1" s="13"/>
      <c r="G1" s="13"/>
      <c r="H1" s="14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41799</v>
      </c>
      <c r="B3" s="2">
        <v>480</v>
      </c>
      <c r="C3" s="2" t="s">
        <v>45</v>
      </c>
      <c r="D3" s="2" t="s">
        <v>50</v>
      </c>
      <c r="E3" s="5">
        <v>2</v>
      </c>
      <c r="F3" s="6">
        <f>(B3*E3)/1000</f>
        <v>0.96</v>
      </c>
      <c r="G3" s="4"/>
      <c r="H3" s="4"/>
    </row>
    <row r="4" spans="1:9">
      <c r="A4" s="2" t="s">
        <v>7</v>
      </c>
      <c r="B4" s="2">
        <v>480</v>
      </c>
      <c r="C4" s="2" t="s">
        <v>46</v>
      </c>
      <c r="D4" s="2" t="s">
        <v>51</v>
      </c>
      <c r="E4" s="5">
        <v>30</v>
      </c>
      <c r="F4" s="6">
        <f>(B4*E4)/1000</f>
        <v>14.4</v>
      </c>
      <c r="G4" s="4"/>
      <c r="H4" s="4"/>
    </row>
    <row r="5" spans="1:9">
      <c r="A5" s="2" t="s">
        <v>44</v>
      </c>
      <c r="B5" s="2">
        <v>480</v>
      </c>
      <c r="C5" s="2"/>
      <c r="D5" s="2" t="s">
        <v>34</v>
      </c>
      <c r="E5" s="5">
        <v>10</v>
      </c>
      <c r="F5" s="6">
        <f t="shared" ref="F5:F39" si="0">(B5*E5)/1000</f>
        <v>4.8</v>
      </c>
      <c r="G5" s="4"/>
      <c r="H5" s="4"/>
    </row>
    <row r="6" spans="1:9">
      <c r="A6" s="2"/>
      <c r="B6" s="2">
        <v>480</v>
      </c>
      <c r="C6" s="2"/>
      <c r="D6" s="2" t="s">
        <v>52</v>
      </c>
      <c r="E6" s="5">
        <v>30</v>
      </c>
      <c r="F6" s="6">
        <f t="shared" si="0"/>
        <v>14.4</v>
      </c>
      <c r="G6" s="4" t="s">
        <v>23</v>
      </c>
      <c r="H6" s="4"/>
    </row>
    <row r="7" spans="1:9">
      <c r="A7" s="2"/>
      <c r="B7" s="2">
        <v>480</v>
      </c>
      <c r="C7" s="2" t="s">
        <v>47</v>
      </c>
      <c r="D7" s="2" t="s">
        <v>53</v>
      </c>
      <c r="E7" s="5">
        <v>80</v>
      </c>
      <c r="F7" s="6">
        <f t="shared" si="0"/>
        <v>38.4</v>
      </c>
      <c r="G7" s="4"/>
      <c r="H7" s="4"/>
    </row>
    <row r="8" spans="1:9">
      <c r="A8" s="2"/>
      <c r="B8" s="2">
        <v>480</v>
      </c>
      <c r="C8" s="2"/>
      <c r="D8" s="2" t="s">
        <v>54</v>
      </c>
      <c r="E8" s="5">
        <v>20</v>
      </c>
      <c r="F8" s="6">
        <f t="shared" si="0"/>
        <v>9.6</v>
      </c>
      <c r="G8" s="4"/>
      <c r="H8" s="4"/>
    </row>
    <row r="9" spans="1:9">
      <c r="A9" s="2"/>
      <c r="B9" s="2">
        <v>480</v>
      </c>
      <c r="C9" s="2"/>
      <c r="D9" s="2" t="s">
        <v>26</v>
      </c>
      <c r="E9" s="5">
        <v>2</v>
      </c>
      <c r="F9" s="6">
        <f t="shared" si="0"/>
        <v>0.96</v>
      </c>
      <c r="G9" s="4"/>
      <c r="H9" s="4"/>
    </row>
    <row r="10" spans="1:9">
      <c r="A10" s="2"/>
      <c r="B10" s="2">
        <v>480</v>
      </c>
      <c r="C10" s="2"/>
      <c r="D10" s="2" t="s">
        <v>8</v>
      </c>
      <c r="E10" s="5">
        <v>10</v>
      </c>
      <c r="F10" s="6">
        <f t="shared" si="0"/>
        <v>4.8</v>
      </c>
      <c r="G10" s="4"/>
      <c r="H10" s="4"/>
    </row>
    <row r="11" spans="1:9">
      <c r="A11" s="2"/>
      <c r="B11" s="2">
        <v>480</v>
      </c>
      <c r="C11" s="2"/>
      <c r="D11" s="2" t="s">
        <v>9</v>
      </c>
      <c r="E11" s="5">
        <v>5</v>
      </c>
      <c r="F11" s="6">
        <f t="shared" si="0"/>
        <v>2.4</v>
      </c>
      <c r="G11" s="4" t="s">
        <v>23</v>
      </c>
      <c r="H11" s="4"/>
    </row>
    <row r="12" spans="1:9">
      <c r="A12" s="2"/>
      <c r="B12" s="2">
        <v>480</v>
      </c>
      <c r="C12" s="2" t="s">
        <v>48</v>
      </c>
      <c r="D12" s="2" t="s">
        <v>55</v>
      </c>
      <c r="E12" s="5">
        <v>40</v>
      </c>
      <c r="F12" s="6">
        <f t="shared" si="0"/>
        <v>19.2</v>
      </c>
      <c r="G12" s="4"/>
      <c r="H12" s="4"/>
    </row>
    <row r="13" spans="1:9">
      <c r="A13" s="2"/>
      <c r="B13" s="2">
        <v>480</v>
      </c>
      <c r="C13" s="2"/>
      <c r="D13" s="2" t="s">
        <v>57</v>
      </c>
      <c r="E13" s="5">
        <v>10</v>
      </c>
      <c r="F13" s="6">
        <f t="shared" si="0"/>
        <v>4.8</v>
      </c>
      <c r="G13" s="4"/>
      <c r="H13" s="4"/>
    </row>
    <row r="14" spans="1:9">
      <c r="A14" s="2"/>
      <c r="B14" s="2">
        <v>480</v>
      </c>
      <c r="C14" s="2"/>
      <c r="D14" s="2" t="s">
        <v>56</v>
      </c>
      <c r="E14" s="5">
        <v>0</v>
      </c>
      <c r="F14" s="6">
        <f t="shared" si="0"/>
        <v>0</v>
      </c>
      <c r="G14" s="4"/>
      <c r="H14" s="4"/>
    </row>
    <row r="15" spans="1:9">
      <c r="A15" s="2"/>
      <c r="B15" s="2">
        <v>480</v>
      </c>
      <c r="C15" s="2" t="s">
        <v>49</v>
      </c>
      <c r="D15" s="2" t="s">
        <v>49</v>
      </c>
      <c r="E15" s="5">
        <v>40</v>
      </c>
      <c r="F15" s="6">
        <f t="shared" si="0"/>
        <v>19.2</v>
      </c>
      <c r="G15" s="4"/>
      <c r="H15" s="4"/>
    </row>
    <row r="16" spans="1:9">
      <c r="A16" s="10"/>
      <c r="B16" s="10"/>
      <c r="C16" s="10"/>
      <c r="D16" s="10"/>
      <c r="E16" s="7"/>
      <c r="F16" s="8">
        <f t="shared" si="0"/>
        <v>0</v>
      </c>
      <c r="G16" s="7"/>
      <c r="H16" s="4"/>
    </row>
    <row r="17" spans="1:8">
      <c r="A17" s="3">
        <v>41800</v>
      </c>
      <c r="B17" s="2">
        <v>200</v>
      </c>
      <c r="C17" s="2" t="s">
        <v>59</v>
      </c>
      <c r="D17" s="2" t="s">
        <v>63</v>
      </c>
      <c r="E17" s="5">
        <v>35</v>
      </c>
      <c r="F17" s="6">
        <f t="shared" si="0"/>
        <v>7</v>
      </c>
      <c r="G17" s="4"/>
      <c r="H17" s="4"/>
    </row>
    <row r="18" spans="1:8">
      <c r="A18" s="2" t="s">
        <v>58</v>
      </c>
      <c r="B18" s="2">
        <v>200</v>
      </c>
      <c r="C18" s="2"/>
      <c r="D18" s="2" t="s">
        <v>52</v>
      </c>
      <c r="E18" s="5">
        <v>20</v>
      </c>
      <c r="F18" s="6">
        <f t="shared" si="0"/>
        <v>4</v>
      </c>
      <c r="G18" s="4"/>
      <c r="H18" s="4"/>
    </row>
    <row r="19" spans="1:8">
      <c r="A19" s="2" t="s">
        <v>15</v>
      </c>
      <c r="B19" s="2">
        <v>200</v>
      </c>
      <c r="C19" s="2"/>
      <c r="D19" s="2" t="s">
        <v>23</v>
      </c>
      <c r="E19" s="5">
        <v>2</v>
      </c>
      <c r="F19" s="6">
        <f t="shared" si="0"/>
        <v>0.4</v>
      </c>
      <c r="G19" s="4" t="s">
        <v>17</v>
      </c>
      <c r="H19" s="4"/>
    </row>
    <row r="20" spans="1:8">
      <c r="A20" s="9"/>
      <c r="B20" s="2">
        <v>200</v>
      </c>
      <c r="C20" s="2" t="s">
        <v>60</v>
      </c>
      <c r="D20" s="2" t="s">
        <v>64</v>
      </c>
      <c r="E20" s="5">
        <v>100</v>
      </c>
      <c r="F20" s="6">
        <f t="shared" si="0"/>
        <v>20</v>
      </c>
      <c r="G20" s="4"/>
      <c r="H20" s="4"/>
    </row>
    <row r="21" spans="1:8">
      <c r="A21" s="9"/>
      <c r="B21" s="2">
        <v>200</v>
      </c>
      <c r="C21" s="2"/>
      <c r="D21" s="2" t="s">
        <v>65</v>
      </c>
      <c r="E21" s="5">
        <v>5</v>
      </c>
      <c r="F21" s="6">
        <f t="shared" si="0"/>
        <v>1</v>
      </c>
      <c r="G21" s="4"/>
      <c r="H21" s="4"/>
    </row>
    <row r="22" spans="1:8">
      <c r="A22" s="9"/>
      <c r="B22" s="2">
        <v>200</v>
      </c>
      <c r="C22" s="2" t="s">
        <v>61</v>
      </c>
      <c r="D22" s="2" t="s">
        <v>66</v>
      </c>
      <c r="E22" s="5">
        <v>20</v>
      </c>
      <c r="F22" s="6">
        <f t="shared" si="0"/>
        <v>4</v>
      </c>
      <c r="G22" s="4"/>
      <c r="H22" s="4"/>
    </row>
    <row r="23" spans="1:8">
      <c r="A23" s="9"/>
      <c r="B23" s="2">
        <v>200</v>
      </c>
      <c r="C23" s="2"/>
      <c r="D23" s="2" t="s">
        <v>67</v>
      </c>
      <c r="E23" s="5">
        <v>5</v>
      </c>
      <c r="F23" s="6">
        <f t="shared" si="0"/>
        <v>1</v>
      </c>
      <c r="G23" s="4"/>
      <c r="H23" s="4"/>
    </row>
    <row r="24" spans="1:8">
      <c r="A24" s="9"/>
      <c r="B24" s="2">
        <v>200</v>
      </c>
      <c r="C24" s="2" t="s">
        <v>11</v>
      </c>
      <c r="D24" s="2" t="s">
        <v>11</v>
      </c>
      <c r="E24" s="5">
        <v>40</v>
      </c>
      <c r="F24" s="6">
        <f t="shared" si="0"/>
        <v>8</v>
      </c>
      <c r="G24" s="4"/>
      <c r="H24" s="4"/>
    </row>
    <row r="25" spans="1:8">
      <c r="A25" s="9"/>
      <c r="B25" s="2">
        <v>200</v>
      </c>
      <c r="C25" s="2" t="s">
        <v>62</v>
      </c>
      <c r="D25" s="2" t="s">
        <v>62</v>
      </c>
      <c r="E25" s="5">
        <v>100</v>
      </c>
      <c r="F25" s="6">
        <f t="shared" si="0"/>
        <v>20</v>
      </c>
      <c r="G25" s="4"/>
      <c r="H25" s="4"/>
    </row>
    <row r="26" spans="1:8">
      <c r="A26" s="7"/>
      <c r="B26" s="7"/>
      <c r="C26" s="7"/>
      <c r="D26" s="7"/>
      <c r="E26" s="7"/>
      <c r="F26" s="8"/>
      <c r="G26" s="7"/>
      <c r="H26" s="4"/>
    </row>
    <row r="27" spans="1:8">
      <c r="A27" s="3">
        <v>41800</v>
      </c>
      <c r="B27" s="2">
        <v>480</v>
      </c>
      <c r="C27" s="2" t="s">
        <v>68</v>
      </c>
      <c r="D27" s="2" t="s">
        <v>72</v>
      </c>
      <c r="E27" s="5">
        <v>2</v>
      </c>
      <c r="F27" s="6">
        <f t="shared" si="0"/>
        <v>0.96</v>
      </c>
      <c r="G27" s="4"/>
      <c r="H27" s="4"/>
    </row>
    <row r="28" spans="1:8">
      <c r="A28" s="2" t="s">
        <v>58</v>
      </c>
      <c r="B28" s="2">
        <v>480</v>
      </c>
      <c r="C28" s="2" t="s">
        <v>69</v>
      </c>
      <c r="D28" s="2" t="s">
        <v>73</v>
      </c>
      <c r="E28" s="5">
        <v>80</v>
      </c>
      <c r="F28" s="6">
        <f t="shared" si="0"/>
        <v>38.4</v>
      </c>
      <c r="G28" s="4"/>
      <c r="H28" s="4"/>
    </row>
    <row r="29" spans="1:8">
      <c r="A29" s="2" t="s">
        <v>12</v>
      </c>
      <c r="B29" s="2">
        <v>480</v>
      </c>
      <c r="C29" s="2"/>
      <c r="D29" s="2" t="s">
        <v>34</v>
      </c>
      <c r="E29" s="5">
        <v>30</v>
      </c>
      <c r="F29" s="6">
        <f t="shared" si="0"/>
        <v>14.4</v>
      </c>
      <c r="G29" s="4"/>
      <c r="H29" s="4"/>
    </row>
    <row r="30" spans="1:8">
      <c r="A30" s="4"/>
      <c r="B30" s="2">
        <v>480</v>
      </c>
      <c r="C30" s="2"/>
      <c r="D30" s="2" t="s">
        <v>23</v>
      </c>
      <c r="E30" s="5">
        <v>2</v>
      </c>
      <c r="F30" s="6">
        <f t="shared" si="0"/>
        <v>0.96</v>
      </c>
      <c r="G30" s="4"/>
      <c r="H30" s="4"/>
    </row>
    <row r="31" spans="1:8">
      <c r="A31" s="4"/>
      <c r="B31" s="2">
        <v>480</v>
      </c>
      <c r="C31" s="2" t="s">
        <v>70</v>
      </c>
      <c r="D31" s="2" t="s">
        <v>74</v>
      </c>
      <c r="E31" s="5">
        <v>100</v>
      </c>
      <c r="F31" s="6">
        <f t="shared" si="0"/>
        <v>48</v>
      </c>
      <c r="G31" s="4"/>
      <c r="H31" s="4"/>
    </row>
    <row r="32" spans="1:8">
      <c r="A32" s="4"/>
      <c r="B32" s="2">
        <v>480</v>
      </c>
      <c r="C32" s="2"/>
      <c r="D32" s="2" t="s">
        <v>75</v>
      </c>
      <c r="E32" s="5">
        <v>0</v>
      </c>
      <c r="F32" s="6">
        <f t="shared" si="0"/>
        <v>0</v>
      </c>
      <c r="G32" s="4"/>
      <c r="H32" s="4"/>
    </row>
    <row r="33" spans="1:8">
      <c r="A33" s="4"/>
      <c r="B33" s="2">
        <v>480</v>
      </c>
      <c r="C33" s="2" t="s">
        <v>71</v>
      </c>
      <c r="D33" s="2" t="s">
        <v>76</v>
      </c>
      <c r="E33" s="5">
        <v>20</v>
      </c>
      <c r="F33" s="6">
        <f t="shared" si="0"/>
        <v>9.6</v>
      </c>
      <c r="G33" s="4"/>
      <c r="H33" s="4"/>
    </row>
    <row r="34" spans="1:8">
      <c r="A34" s="4"/>
      <c r="B34" s="2">
        <v>480</v>
      </c>
      <c r="C34" s="2"/>
      <c r="D34" s="2" t="s">
        <v>77</v>
      </c>
      <c r="E34" s="5">
        <v>10</v>
      </c>
      <c r="F34" s="6">
        <f t="shared" si="0"/>
        <v>4.8</v>
      </c>
      <c r="G34" s="4" t="s">
        <v>123</v>
      </c>
      <c r="H34" s="4"/>
    </row>
    <row r="35" spans="1:8">
      <c r="A35" s="4"/>
      <c r="B35" s="2">
        <v>480</v>
      </c>
      <c r="C35" s="2"/>
      <c r="D35" s="2" t="s">
        <v>78</v>
      </c>
      <c r="E35" s="5">
        <v>10</v>
      </c>
      <c r="F35" s="6">
        <f t="shared" si="0"/>
        <v>4.8</v>
      </c>
      <c r="G35" s="4"/>
      <c r="H35" s="4"/>
    </row>
    <row r="36" spans="1:8">
      <c r="A36" s="4"/>
      <c r="B36" s="2">
        <v>480</v>
      </c>
      <c r="C36" s="2"/>
      <c r="D36" s="2" t="s">
        <v>40</v>
      </c>
      <c r="E36" s="5">
        <v>10</v>
      </c>
      <c r="F36" s="6">
        <f t="shared" si="0"/>
        <v>4.8</v>
      </c>
      <c r="G36" s="4"/>
      <c r="H36" s="4"/>
    </row>
    <row r="37" spans="1:8">
      <c r="A37" s="4"/>
      <c r="B37" s="2">
        <v>480</v>
      </c>
      <c r="C37" s="2"/>
      <c r="D37" s="2" t="s">
        <v>8</v>
      </c>
      <c r="E37" s="5">
        <v>10</v>
      </c>
      <c r="F37" s="6">
        <f t="shared" si="0"/>
        <v>4.8</v>
      </c>
      <c r="G37" s="4"/>
      <c r="H37" s="4"/>
    </row>
    <row r="38" spans="1:8">
      <c r="A38" s="4"/>
      <c r="B38" s="2">
        <v>480</v>
      </c>
      <c r="C38" s="2"/>
      <c r="D38" s="2" t="s">
        <v>79</v>
      </c>
      <c r="E38" s="5">
        <v>30</v>
      </c>
      <c r="F38" s="6">
        <f t="shared" si="0"/>
        <v>14.4</v>
      </c>
      <c r="G38" s="4"/>
      <c r="H38" s="4"/>
    </row>
    <row r="39" spans="1:8">
      <c r="A39" s="4"/>
      <c r="B39" s="2">
        <v>480</v>
      </c>
      <c r="C39" s="2" t="s">
        <v>49</v>
      </c>
      <c r="D39" s="2" t="s">
        <v>49</v>
      </c>
      <c r="E39" s="5">
        <v>40</v>
      </c>
      <c r="F39" s="6">
        <f t="shared" si="0"/>
        <v>19.2</v>
      </c>
      <c r="G39" s="4"/>
      <c r="H39" s="4"/>
    </row>
    <row r="40" spans="1:8">
      <c r="A40" s="7"/>
      <c r="B40" s="10"/>
      <c r="C40" s="10"/>
      <c r="D40" s="10"/>
      <c r="E40" s="7"/>
      <c r="F40" s="7"/>
      <c r="G40" s="7"/>
      <c r="H40" s="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3"/>
  <sheetViews>
    <sheetView workbookViewId="0">
      <selection activeCell="C48" sqref="C48"/>
    </sheetView>
  </sheetViews>
  <sheetFormatPr defaultRowHeight="16.5"/>
  <cols>
    <col min="1" max="1" width="5.25" customWidth="1"/>
    <col min="2" max="2" width="5.875" customWidth="1"/>
    <col min="3" max="3" width="14" customWidth="1"/>
    <col min="4" max="4" width="15.125" customWidth="1"/>
    <col min="5" max="5" width="7.25" customWidth="1"/>
    <col min="7" max="7" width="18.5" customWidth="1"/>
    <col min="8" max="8" width="9.625" hidden="1" customWidth="1"/>
  </cols>
  <sheetData>
    <row r="1" spans="1:9" ht="26.25" customHeight="1">
      <c r="A1" s="12" t="s">
        <v>83</v>
      </c>
      <c r="B1" s="13"/>
      <c r="C1" s="13"/>
      <c r="D1" s="13"/>
      <c r="E1" s="13"/>
      <c r="F1" s="13"/>
      <c r="G1" s="13"/>
      <c r="H1" s="14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41800</v>
      </c>
      <c r="B3" s="2">
        <v>500</v>
      </c>
      <c r="C3" s="2" t="s">
        <v>84</v>
      </c>
      <c r="D3" s="2" t="s">
        <v>87</v>
      </c>
      <c r="E3" s="5">
        <v>25</v>
      </c>
      <c r="F3" s="6">
        <f>(B3*E3)/1000</f>
        <v>12.5</v>
      </c>
      <c r="G3" s="4"/>
      <c r="H3" s="4"/>
    </row>
    <row r="4" spans="1:9">
      <c r="A4" s="2" t="s">
        <v>58</v>
      </c>
      <c r="B4" s="2">
        <v>500</v>
      </c>
      <c r="C4" s="2"/>
      <c r="D4" s="2" t="s">
        <v>88</v>
      </c>
      <c r="E4" s="5">
        <v>15</v>
      </c>
      <c r="F4" s="6">
        <f>(B4*E4)/1000</f>
        <v>7.5</v>
      </c>
      <c r="G4" s="4"/>
      <c r="H4" s="4"/>
    </row>
    <row r="5" spans="1:9">
      <c r="A5" s="2" t="s">
        <v>44</v>
      </c>
      <c r="B5" s="2">
        <v>500</v>
      </c>
      <c r="C5" s="2"/>
      <c r="D5" s="2" t="s">
        <v>89</v>
      </c>
      <c r="E5" s="5">
        <v>25</v>
      </c>
      <c r="F5" s="6">
        <f t="shared" ref="F5:F43" si="0">(B5*E5)/1000</f>
        <v>12.5</v>
      </c>
      <c r="G5" s="4"/>
      <c r="H5" s="4"/>
    </row>
    <row r="6" spans="1:9">
      <c r="A6" s="2"/>
      <c r="B6" s="2">
        <v>500</v>
      </c>
      <c r="C6" s="2"/>
      <c r="D6" s="2" t="s">
        <v>9</v>
      </c>
      <c r="E6" s="5">
        <v>20</v>
      </c>
      <c r="F6" s="6">
        <f t="shared" si="0"/>
        <v>10</v>
      </c>
      <c r="G6" s="4"/>
      <c r="H6" s="4"/>
    </row>
    <row r="7" spans="1:9">
      <c r="A7" s="2"/>
      <c r="B7" s="2">
        <v>500</v>
      </c>
      <c r="C7" s="2"/>
      <c r="D7" s="2" t="s">
        <v>8</v>
      </c>
      <c r="E7" s="5">
        <v>25</v>
      </c>
      <c r="F7" s="6">
        <f t="shared" si="0"/>
        <v>12.5</v>
      </c>
      <c r="G7" s="4"/>
      <c r="H7" s="4"/>
    </row>
    <row r="8" spans="1:9">
      <c r="A8" s="2"/>
      <c r="B8" s="2">
        <v>500</v>
      </c>
      <c r="C8" s="2"/>
      <c r="D8" s="2" t="s">
        <v>90</v>
      </c>
      <c r="E8" s="5">
        <v>20</v>
      </c>
      <c r="F8" s="6">
        <f t="shared" si="0"/>
        <v>10</v>
      </c>
      <c r="G8" s="4"/>
      <c r="H8" s="4"/>
    </row>
    <row r="9" spans="1:9">
      <c r="A9" s="2"/>
      <c r="B9" s="2">
        <v>500</v>
      </c>
      <c r="C9" s="2" t="s">
        <v>85</v>
      </c>
      <c r="D9" s="2" t="s">
        <v>91</v>
      </c>
      <c r="E9" s="5">
        <v>50</v>
      </c>
      <c r="F9" s="6">
        <f t="shared" si="0"/>
        <v>25</v>
      </c>
      <c r="G9" s="4"/>
      <c r="H9" s="4"/>
    </row>
    <row r="10" spans="1:9">
      <c r="A10" s="2"/>
      <c r="B10" s="2">
        <v>500</v>
      </c>
      <c r="C10" s="2"/>
      <c r="D10" s="2" t="s">
        <v>92</v>
      </c>
      <c r="E10" s="5">
        <v>2</v>
      </c>
      <c r="F10" s="6">
        <f t="shared" si="0"/>
        <v>1</v>
      </c>
      <c r="G10" s="4"/>
      <c r="H10" s="4"/>
    </row>
    <row r="11" spans="1:9">
      <c r="A11" s="2"/>
      <c r="B11" s="2">
        <v>500</v>
      </c>
      <c r="C11" s="2"/>
      <c r="D11" s="2" t="s">
        <v>93</v>
      </c>
      <c r="E11" s="5">
        <v>4</v>
      </c>
      <c r="F11" s="6">
        <f t="shared" si="0"/>
        <v>2</v>
      </c>
      <c r="G11" s="4"/>
      <c r="H11" s="4"/>
    </row>
    <row r="12" spans="1:9">
      <c r="A12" s="2"/>
      <c r="B12" s="2">
        <v>500</v>
      </c>
      <c r="C12" s="2"/>
      <c r="D12" s="2" t="s">
        <v>35</v>
      </c>
      <c r="E12" s="5">
        <v>40</v>
      </c>
      <c r="F12" s="6">
        <f t="shared" si="0"/>
        <v>20</v>
      </c>
      <c r="G12" s="4"/>
      <c r="H12" s="4"/>
    </row>
    <row r="13" spans="1:9">
      <c r="A13" s="2"/>
      <c r="B13" s="2">
        <v>500</v>
      </c>
      <c r="C13" s="2" t="s">
        <v>86</v>
      </c>
      <c r="D13" s="2" t="s">
        <v>94</v>
      </c>
      <c r="E13" s="5">
        <v>85</v>
      </c>
      <c r="F13" s="6">
        <f t="shared" si="0"/>
        <v>42.5</v>
      </c>
      <c r="G13" s="4"/>
      <c r="H13" s="4"/>
    </row>
    <row r="14" spans="1:9">
      <c r="A14" s="2"/>
      <c r="B14" s="2">
        <v>500</v>
      </c>
      <c r="C14" s="2"/>
      <c r="D14" s="2" t="s">
        <v>43</v>
      </c>
      <c r="E14" s="5">
        <v>25</v>
      </c>
      <c r="F14" s="6">
        <f t="shared" si="0"/>
        <v>12.5</v>
      </c>
      <c r="G14" s="4"/>
      <c r="H14" s="4"/>
    </row>
    <row r="15" spans="1:9">
      <c r="A15" s="2"/>
      <c r="B15" s="2">
        <v>500</v>
      </c>
      <c r="C15" s="2"/>
      <c r="D15" s="2" t="s">
        <v>118</v>
      </c>
      <c r="E15" s="5">
        <v>10</v>
      </c>
      <c r="F15" s="6">
        <f t="shared" si="0"/>
        <v>5</v>
      </c>
      <c r="G15" s="4"/>
      <c r="H15" s="4"/>
    </row>
    <row r="16" spans="1:9">
      <c r="A16" s="2"/>
      <c r="B16" s="2">
        <v>500</v>
      </c>
      <c r="C16" s="2"/>
      <c r="D16" s="2" t="s">
        <v>76</v>
      </c>
      <c r="E16" s="5">
        <v>5</v>
      </c>
      <c r="F16" s="6">
        <f t="shared" si="0"/>
        <v>2.5</v>
      </c>
      <c r="G16" s="4"/>
      <c r="H16" s="4"/>
    </row>
    <row r="17" spans="1:8">
      <c r="A17" s="2"/>
      <c r="B17" s="2">
        <v>500</v>
      </c>
      <c r="C17" s="2" t="s">
        <v>11</v>
      </c>
      <c r="D17" s="2" t="s">
        <v>11</v>
      </c>
      <c r="E17" s="5">
        <v>40</v>
      </c>
      <c r="F17" s="6">
        <f>(B17*E17)/1000</f>
        <v>20</v>
      </c>
      <c r="G17" s="4"/>
      <c r="H17" s="4"/>
    </row>
    <row r="18" spans="1:8">
      <c r="A18" s="2"/>
      <c r="B18" s="2">
        <v>500</v>
      </c>
      <c r="C18" s="2" t="s">
        <v>95</v>
      </c>
      <c r="D18" s="2" t="s">
        <v>95</v>
      </c>
      <c r="E18" s="5">
        <v>60</v>
      </c>
      <c r="F18" s="6" t="s">
        <v>96</v>
      </c>
      <c r="G18" s="4"/>
      <c r="H18" s="4"/>
    </row>
    <row r="19" spans="1:8">
      <c r="A19" s="10"/>
      <c r="B19" s="10"/>
      <c r="C19" s="10"/>
      <c r="D19" s="10"/>
      <c r="E19" s="7"/>
      <c r="F19" s="8">
        <f t="shared" si="0"/>
        <v>0</v>
      </c>
      <c r="G19" s="7"/>
      <c r="H19" s="4"/>
    </row>
    <row r="20" spans="1:8">
      <c r="A20" s="3">
        <v>41801</v>
      </c>
      <c r="B20" s="2">
        <v>200</v>
      </c>
      <c r="C20" s="2" t="s">
        <v>98</v>
      </c>
      <c r="D20" s="2" t="s">
        <v>90</v>
      </c>
      <c r="E20" s="5">
        <v>20</v>
      </c>
      <c r="F20" s="6">
        <f t="shared" si="0"/>
        <v>4</v>
      </c>
      <c r="G20" s="4"/>
      <c r="H20" s="4"/>
    </row>
    <row r="21" spans="1:8">
      <c r="A21" s="2" t="s">
        <v>97</v>
      </c>
      <c r="B21" s="2">
        <v>200</v>
      </c>
      <c r="C21" s="2"/>
      <c r="D21" s="2" t="s">
        <v>100</v>
      </c>
      <c r="E21" s="5">
        <v>15</v>
      </c>
      <c r="F21" s="6">
        <f t="shared" si="0"/>
        <v>3</v>
      </c>
      <c r="G21" s="4"/>
      <c r="H21" s="4"/>
    </row>
    <row r="22" spans="1:8">
      <c r="A22" s="2" t="s">
        <v>15</v>
      </c>
      <c r="B22" s="2">
        <v>200</v>
      </c>
      <c r="C22" s="2"/>
      <c r="D22" s="2" t="s">
        <v>120</v>
      </c>
      <c r="E22" s="5">
        <v>10</v>
      </c>
      <c r="F22" s="6">
        <f t="shared" si="0"/>
        <v>2</v>
      </c>
      <c r="G22" s="4" t="s">
        <v>117</v>
      </c>
      <c r="H22" s="4"/>
    </row>
    <row r="23" spans="1:8">
      <c r="A23" s="9"/>
      <c r="B23" s="2">
        <v>200</v>
      </c>
      <c r="C23" s="2" t="s">
        <v>99</v>
      </c>
      <c r="D23" s="2" t="s">
        <v>101</v>
      </c>
      <c r="E23" s="5">
        <v>100</v>
      </c>
      <c r="F23" s="6">
        <f t="shared" si="0"/>
        <v>20</v>
      </c>
      <c r="G23" s="4"/>
      <c r="H23" s="4"/>
    </row>
    <row r="24" spans="1:8">
      <c r="A24" s="9"/>
      <c r="B24" s="2">
        <v>200</v>
      </c>
      <c r="C24" s="2"/>
      <c r="D24" s="2" t="s">
        <v>119</v>
      </c>
      <c r="E24" s="5">
        <v>10</v>
      </c>
      <c r="F24" s="6">
        <f t="shared" si="0"/>
        <v>2</v>
      </c>
      <c r="G24" s="4"/>
      <c r="H24" s="4"/>
    </row>
    <row r="25" spans="1:8">
      <c r="A25" s="9"/>
      <c r="B25" s="2">
        <v>200</v>
      </c>
      <c r="C25" s="2"/>
      <c r="D25" s="2" t="s">
        <v>102</v>
      </c>
      <c r="E25" s="5">
        <v>30</v>
      </c>
      <c r="F25" s="6">
        <f t="shared" si="0"/>
        <v>6</v>
      </c>
      <c r="G25" s="4"/>
      <c r="H25" s="4"/>
    </row>
    <row r="26" spans="1:8">
      <c r="A26" s="9"/>
      <c r="B26" s="2">
        <v>200</v>
      </c>
      <c r="C26" s="2" t="s">
        <v>103</v>
      </c>
      <c r="D26" s="2" t="s">
        <v>103</v>
      </c>
      <c r="E26" s="5">
        <v>30</v>
      </c>
      <c r="F26" s="6">
        <f t="shared" si="0"/>
        <v>6</v>
      </c>
      <c r="G26" s="4"/>
      <c r="H26" s="4"/>
    </row>
    <row r="27" spans="1:8">
      <c r="A27" s="9"/>
      <c r="B27" s="2">
        <v>200</v>
      </c>
      <c r="C27" s="2" t="s">
        <v>11</v>
      </c>
      <c r="D27" s="2" t="s">
        <v>11</v>
      </c>
      <c r="E27" s="5">
        <v>40</v>
      </c>
      <c r="F27" s="6">
        <f>(B27*E27)/1000</f>
        <v>8</v>
      </c>
      <c r="G27" s="4"/>
      <c r="H27" s="4"/>
    </row>
    <row r="28" spans="1:8">
      <c r="A28" s="9"/>
      <c r="B28" s="2">
        <v>200</v>
      </c>
      <c r="C28" s="2" t="s">
        <v>104</v>
      </c>
      <c r="D28" s="2" t="s">
        <v>105</v>
      </c>
      <c r="E28" s="5">
        <v>60</v>
      </c>
      <c r="F28" s="11" t="s">
        <v>106</v>
      </c>
      <c r="G28" s="4"/>
      <c r="H28" s="4"/>
    </row>
    <row r="29" spans="1:8">
      <c r="A29" s="7"/>
      <c r="B29" s="7"/>
      <c r="C29" s="7"/>
      <c r="D29" s="7"/>
      <c r="E29" s="7"/>
      <c r="F29" s="8"/>
      <c r="G29" s="7"/>
      <c r="H29" s="4"/>
    </row>
    <row r="30" spans="1:8">
      <c r="A30" s="3">
        <v>41801</v>
      </c>
      <c r="B30" s="2">
        <v>500</v>
      </c>
      <c r="C30" s="2" t="s">
        <v>107</v>
      </c>
      <c r="D30" s="2" t="s">
        <v>111</v>
      </c>
      <c r="E30" s="5">
        <v>2</v>
      </c>
      <c r="F30" s="6">
        <f t="shared" si="0"/>
        <v>1</v>
      </c>
      <c r="G30" s="4"/>
      <c r="H30" s="4"/>
    </row>
    <row r="31" spans="1:8">
      <c r="A31" s="2" t="s">
        <v>97</v>
      </c>
      <c r="B31" s="2">
        <v>500</v>
      </c>
      <c r="C31" s="2" t="s">
        <v>108</v>
      </c>
      <c r="D31" s="2" t="s">
        <v>112</v>
      </c>
      <c r="E31" s="5">
        <v>20</v>
      </c>
      <c r="F31" s="6">
        <f t="shared" si="0"/>
        <v>10</v>
      </c>
      <c r="G31" s="4"/>
      <c r="H31" s="4"/>
    </row>
    <row r="32" spans="1:8">
      <c r="A32" s="2" t="s">
        <v>12</v>
      </c>
      <c r="B32" s="2">
        <v>500</v>
      </c>
      <c r="C32" s="2"/>
      <c r="D32" s="2" t="s">
        <v>113</v>
      </c>
      <c r="E32" s="5">
        <v>20</v>
      </c>
      <c r="F32" s="6">
        <f t="shared" si="0"/>
        <v>10</v>
      </c>
      <c r="G32" s="4"/>
      <c r="H32" s="4"/>
    </row>
    <row r="33" spans="1:8">
      <c r="A33" s="4"/>
      <c r="B33" s="2">
        <v>500</v>
      </c>
      <c r="C33" s="2"/>
      <c r="D33" s="2" t="s">
        <v>34</v>
      </c>
      <c r="E33" s="5">
        <v>30</v>
      </c>
      <c r="F33" s="6">
        <f t="shared" si="0"/>
        <v>15</v>
      </c>
      <c r="G33" s="4"/>
      <c r="H33" s="4"/>
    </row>
    <row r="34" spans="1:8">
      <c r="A34" s="4"/>
      <c r="B34" s="2">
        <v>500</v>
      </c>
      <c r="C34" s="2"/>
      <c r="D34" s="2" t="s">
        <v>35</v>
      </c>
      <c r="E34" s="5">
        <v>5</v>
      </c>
      <c r="F34" s="6">
        <f t="shared" si="0"/>
        <v>2.5</v>
      </c>
      <c r="G34" s="4" t="s">
        <v>117</v>
      </c>
      <c r="H34" s="4"/>
    </row>
    <row r="35" spans="1:8">
      <c r="A35" s="4"/>
      <c r="B35" s="2">
        <v>500</v>
      </c>
      <c r="C35" s="2" t="s">
        <v>109</v>
      </c>
      <c r="D35" s="2" t="s">
        <v>114</v>
      </c>
      <c r="E35" s="5">
        <v>150</v>
      </c>
      <c r="F35" s="6">
        <f t="shared" si="0"/>
        <v>75</v>
      </c>
      <c r="G35" s="4"/>
      <c r="H35" s="4"/>
    </row>
    <row r="36" spans="1:8">
      <c r="A36" s="4"/>
      <c r="B36" s="2">
        <v>500</v>
      </c>
      <c r="C36" s="2"/>
      <c r="D36" s="2" t="s">
        <v>54</v>
      </c>
      <c r="E36" s="5">
        <v>20</v>
      </c>
      <c r="F36" s="6">
        <f t="shared" si="0"/>
        <v>10</v>
      </c>
      <c r="G36" s="4"/>
      <c r="H36" s="4"/>
    </row>
    <row r="37" spans="1:8">
      <c r="A37" s="4"/>
      <c r="B37" s="2">
        <v>500</v>
      </c>
      <c r="C37" s="2"/>
      <c r="D37" s="2" t="s">
        <v>9</v>
      </c>
      <c r="E37" s="5">
        <v>10</v>
      </c>
      <c r="F37" s="6">
        <f t="shared" si="0"/>
        <v>5</v>
      </c>
      <c r="G37" s="4"/>
      <c r="H37" s="4"/>
    </row>
    <row r="38" spans="1:8">
      <c r="A38" s="4"/>
      <c r="B38" s="2">
        <v>500</v>
      </c>
      <c r="C38" s="2"/>
      <c r="D38" s="2" t="s">
        <v>8</v>
      </c>
      <c r="E38" s="5">
        <v>20</v>
      </c>
      <c r="F38" s="6">
        <f t="shared" si="0"/>
        <v>10</v>
      </c>
      <c r="G38" s="4"/>
      <c r="H38" s="4"/>
    </row>
    <row r="39" spans="1:8">
      <c r="A39" s="4"/>
      <c r="B39" s="2">
        <v>500</v>
      </c>
      <c r="C39" s="2"/>
      <c r="D39" s="2" t="s">
        <v>116</v>
      </c>
      <c r="E39" s="5">
        <v>2</v>
      </c>
      <c r="F39" s="6">
        <f t="shared" si="0"/>
        <v>1</v>
      </c>
      <c r="G39" s="4"/>
      <c r="H39" s="4"/>
    </row>
    <row r="40" spans="1:8">
      <c r="A40" s="4"/>
      <c r="B40" s="2">
        <v>500</v>
      </c>
      <c r="C40" s="2" t="s">
        <v>110</v>
      </c>
      <c r="D40" s="2" t="s">
        <v>89</v>
      </c>
      <c r="E40" s="5">
        <v>50</v>
      </c>
      <c r="F40" s="6">
        <f t="shared" si="0"/>
        <v>25</v>
      </c>
      <c r="G40" s="4"/>
      <c r="H40" s="4"/>
    </row>
    <row r="41" spans="1:8">
      <c r="A41" s="4"/>
      <c r="B41" s="2">
        <v>500</v>
      </c>
      <c r="C41" s="2"/>
      <c r="D41" s="2" t="s">
        <v>8</v>
      </c>
      <c r="E41" s="5">
        <v>10</v>
      </c>
      <c r="F41" s="6">
        <f t="shared" si="0"/>
        <v>5</v>
      </c>
      <c r="G41" s="4"/>
      <c r="H41" s="4"/>
    </row>
    <row r="42" spans="1:8">
      <c r="A42" s="4"/>
      <c r="B42" s="2">
        <v>500</v>
      </c>
      <c r="C42" s="2"/>
      <c r="D42" s="2" t="s">
        <v>115</v>
      </c>
      <c r="E42" s="5">
        <v>5</v>
      </c>
      <c r="F42" s="6">
        <f t="shared" si="0"/>
        <v>2.5</v>
      </c>
      <c r="G42" s="4"/>
      <c r="H42" s="4"/>
    </row>
    <row r="43" spans="1:8">
      <c r="A43" s="4"/>
      <c r="B43" s="2">
        <v>500</v>
      </c>
      <c r="C43" s="2" t="s">
        <v>11</v>
      </c>
      <c r="D43" s="2" t="s">
        <v>11</v>
      </c>
      <c r="E43" s="5">
        <v>40</v>
      </c>
      <c r="F43" s="6">
        <f t="shared" si="0"/>
        <v>20</v>
      </c>
      <c r="G43" s="4"/>
      <c r="H43" s="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3"/>
  <sheetViews>
    <sheetView topLeftCell="A22" workbookViewId="0">
      <selection activeCell="F42" sqref="F42"/>
    </sheetView>
  </sheetViews>
  <sheetFormatPr defaultRowHeight="16.5"/>
  <cols>
    <col min="1" max="1" width="5.25" customWidth="1"/>
    <col min="2" max="2" width="5.875" customWidth="1"/>
    <col min="3" max="3" width="14" customWidth="1"/>
    <col min="4" max="4" width="15.125" customWidth="1"/>
    <col min="5" max="5" width="7.25" customWidth="1"/>
    <col min="6" max="6" width="9.25" bestFit="1" customWidth="1"/>
    <col min="7" max="7" width="18.375" customWidth="1"/>
    <col min="8" max="8" width="0.375" customWidth="1"/>
  </cols>
  <sheetData>
    <row r="1" spans="1:9" ht="26.25" customHeight="1">
      <c r="A1" s="12" t="s">
        <v>121</v>
      </c>
      <c r="B1" s="13"/>
      <c r="C1" s="13"/>
      <c r="D1" s="13"/>
      <c r="E1" s="13"/>
      <c r="F1" s="13"/>
      <c r="G1" s="13"/>
      <c r="H1" s="14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41801</v>
      </c>
      <c r="B3" s="2">
        <v>500</v>
      </c>
      <c r="C3" s="2" t="s">
        <v>13</v>
      </c>
      <c r="D3" s="2" t="s">
        <v>14</v>
      </c>
      <c r="E3" s="5">
        <v>2</v>
      </c>
      <c r="F3" s="6">
        <f>(B3*E3)/1000</f>
        <v>1</v>
      </c>
      <c r="G3" s="4"/>
      <c r="H3" s="4"/>
    </row>
    <row r="4" spans="1:9">
      <c r="A4" s="2" t="s">
        <v>97</v>
      </c>
      <c r="B4" s="2">
        <v>500</v>
      </c>
      <c r="C4" s="2" t="s">
        <v>122</v>
      </c>
      <c r="D4" s="2" t="s">
        <v>128</v>
      </c>
      <c r="E4" s="5">
        <v>15</v>
      </c>
      <c r="F4" s="6">
        <f>(B4*E4)/1000</f>
        <v>7.5</v>
      </c>
      <c r="G4" s="4"/>
      <c r="H4" s="4"/>
    </row>
    <row r="5" spans="1:9">
      <c r="A5" s="2" t="s">
        <v>44</v>
      </c>
      <c r="B5" s="2">
        <v>500</v>
      </c>
      <c r="C5" s="2"/>
      <c r="D5" s="2" t="s">
        <v>129</v>
      </c>
      <c r="E5" s="5">
        <v>10</v>
      </c>
      <c r="F5" s="6">
        <f t="shared" ref="F5:F43" si="0">(B5*E5)/1000</f>
        <v>5</v>
      </c>
      <c r="G5" s="4"/>
      <c r="H5" s="4"/>
    </row>
    <row r="6" spans="1:9">
      <c r="A6" s="2"/>
      <c r="B6" s="2">
        <v>500</v>
      </c>
      <c r="C6" s="2"/>
      <c r="D6" s="2" t="s">
        <v>130</v>
      </c>
      <c r="E6" s="5">
        <v>10</v>
      </c>
      <c r="F6" s="6">
        <f t="shared" si="0"/>
        <v>5</v>
      </c>
      <c r="G6" s="4"/>
      <c r="H6" s="4"/>
    </row>
    <row r="7" spans="1:9">
      <c r="A7" s="2"/>
      <c r="B7" s="2">
        <v>500</v>
      </c>
      <c r="C7" s="2"/>
      <c r="D7" s="2" t="s">
        <v>157</v>
      </c>
      <c r="E7" s="5">
        <v>10</v>
      </c>
      <c r="F7" s="6">
        <f t="shared" si="0"/>
        <v>5</v>
      </c>
      <c r="G7" s="4"/>
      <c r="H7" s="4"/>
    </row>
    <row r="8" spans="1:9">
      <c r="A8" s="2"/>
      <c r="B8" s="2">
        <v>500</v>
      </c>
      <c r="C8" s="2"/>
      <c r="D8" s="2" t="s">
        <v>23</v>
      </c>
      <c r="E8" s="5">
        <v>2</v>
      </c>
      <c r="F8" s="6">
        <f t="shared" si="0"/>
        <v>1</v>
      </c>
      <c r="G8" s="4"/>
      <c r="H8" s="4"/>
    </row>
    <row r="9" spans="1:9">
      <c r="A9" s="2"/>
      <c r="B9" s="2">
        <v>500</v>
      </c>
      <c r="C9" s="2" t="s">
        <v>124</v>
      </c>
      <c r="D9" s="2" t="s">
        <v>131</v>
      </c>
      <c r="E9" s="5">
        <v>140</v>
      </c>
      <c r="F9" s="6">
        <f t="shared" si="0"/>
        <v>70</v>
      </c>
      <c r="G9" s="4"/>
      <c r="H9" s="4"/>
    </row>
    <row r="10" spans="1:9">
      <c r="A10" s="2"/>
      <c r="B10" s="2">
        <v>500</v>
      </c>
      <c r="C10" s="2" t="s">
        <v>125</v>
      </c>
      <c r="D10" s="2" t="s">
        <v>102</v>
      </c>
      <c r="E10" s="5">
        <v>30</v>
      </c>
      <c r="F10" s="6">
        <f t="shared" si="0"/>
        <v>15</v>
      </c>
      <c r="G10" s="4"/>
      <c r="H10" s="4"/>
    </row>
    <row r="11" spans="1:9">
      <c r="A11" s="2"/>
      <c r="B11" s="2">
        <v>500</v>
      </c>
      <c r="C11" s="2"/>
      <c r="D11" s="2" t="s">
        <v>132</v>
      </c>
      <c r="E11" s="5">
        <v>5</v>
      </c>
      <c r="F11" s="6">
        <f t="shared" si="0"/>
        <v>2.5</v>
      </c>
      <c r="G11" s="4"/>
      <c r="H11" s="4"/>
    </row>
    <row r="12" spans="1:9">
      <c r="A12" s="2"/>
      <c r="B12" s="2">
        <v>500</v>
      </c>
      <c r="C12" s="2"/>
      <c r="D12" s="2" t="s">
        <v>118</v>
      </c>
      <c r="E12" s="5">
        <v>5</v>
      </c>
      <c r="F12" s="6">
        <f t="shared" si="0"/>
        <v>2.5</v>
      </c>
      <c r="G12" s="4"/>
      <c r="H12" s="4"/>
    </row>
    <row r="13" spans="1:9">
      <c r="A13" s="2"/>
      <c r="B13" s="2">
        <v>500</v>
      </c>
      <c r="C13" s="2" t="s">
        <v>126</v>
      </c>
      <c r="D13" s="2" t="s">
        <v>133</v>
      </c>
      <c r="E13" s="5">
        <v>80</v>
      </c>
      <c r="F13" s="6">
        <f t="shared" si="0"/>
        <v>40</v>
      </c>
      <c r="G13" s="4"/>
      <c r="H13" s="4"/>
    </row>
    <row r="14" spans="1:9">
      <c r="A14" s="2"/>
      <c r="B14" s="2">
        <v>500</v>
      </c>
      <c r="C14" s="2"/>
      <c r="D14" s="2" t="s">
        <v>43</v>
      </c>
      <c r="E14" s="5">
        <v>30</v>
      </c>
      <c r="F14" s="6">
        <f t="shared" si="0"/>
        <v>15</v>
      </c>
      <c r="G14" s="4"/>
      <c r="H14" s="4"/>
    </row>
    <row r="15" spans="1:9">
      <c r="A15" s="2"/>
      <c r="B15" s="2">
        <v>500</v>
      </c>
      <c r="C15" s="2"/>
      <c r="D15" s="2" t="s">
        <v>8</v>
      </c>
      <c r="E15" s="5">
        <v>20</v>
      </c>
      <c r="F15" s="6">
        <f>(B15*E15)/1000</f>
        <v>10</v>
      </c>
      <c r="G15" s="4"/>
      <c r="H15" s="4"/>
    </row>
    <row r="16" spans="1:9">
      <c r="A16" s="2"/>
      <c r="B16" s="2">
        <v>500</v>
      </c>
      <c r="C16" s="2"/>
      <c r="D16" s="2" t="s">
        <v>134</v>
      </c>
      <c r="E16" s="5">
        <v>5</v>
      </c>
      <c r="F16" s="6">
        <f t="shared" ref="F16:F19" si="1">(B16*E16)/1000</f>
        <v>2.5</v>
      </c>
      <c r="G16" s="4"/>
      <c r="H16" s="4"/>
    </row>
    <row r="17" spans="1:8">
      <c r="A17" s="2"/>
      <c r="B17" s="2">
        <v>500</v>
      </c>
      <c r="C17" s="2"/>
      <c r="D17" s="2" t="s">
        <v>135</v>
      </c>
      <c r="E17" s="5">
        <v>3</v>
      </c>
      <c r="F17" s="6">
        <f t="shared" si="1"/>
        <v>1.5</v>
      </c>
      <c r="G17" s="4"/>
      <c r="H17" s="4"/>
    </row>
    <row r="18" spans="1:8">
      <c r="A18" s="2"/>
      <c r="B18" s="2">
        <v>500</v>
      </c>
      <c r="C18" s="2"/>
      <c r="D18" s="2" t="s">
        <v>136</v>
      </c>
      <c r="E18" s="5">
        <v>2</v>
      </c>
      <c r="F18" s="6">
        <f t="shared" si="1"/>
        <v>1</v>
      </c>
      <c r="G18" s="4"/>
      <c r="H18" s="4"/>
    </row>
    <row r="19" spans="1:8">
      <c r="A19" s="2"/>
      <c r="B19" s="2">
        <v>500</v>
      </c>
      <c r="C19" s="2" t="s">
        <v>127</v>
      </c>
      <c r="D19" s="2" t="s">
        <v>127</v>
      </c>
      <c r="E19" s="5">
        <v>40</v>
      </c>
      <c r="F19" s="6">
        <f t="shared" si="1"/>
        <v>20</v>
      </c>
      <c r="G19" s="4"/>
      <c r="H19" s="4"/>
    </row>
    <row r="20" spans="1:8">
      <c r="A20" s="10"/>
      <c r="B20" s="10"/>
      <c r="C20" s="10"/>
      <c r="D20" s="10"/>
      <c r="E20" s="7"/>
      <c r="F20" s="8">
        <f t="shared" si="0"/>
        <v>0</v>
      </c>
      <c r="G20" s="7"/>
      <c r="H20" s="4"/>
    </row>
    <row r="21" spans="1:8">
      <c r="A21" s="3">
        <v>41802</v>
      </c>
      <c r="B21" s="2">
        <v>200</v>
      </c>
      <c r="C21" s="2" t="s">
        <v>138</v>
      </c>
      <c r="D21" s="2" t="s">
        <v>151</v>
      </c>
      <c r="E21" s="5">
        <v>10</v>
      </c>
      <c r="F21" s="6">
        <f t="shared" si="0"/>
        <v>2</v>
      </c>
      <c r="G21" s="4"/>
      <c r="H21" s="4"/>
    </row>
    <row r="22" spans="1:8">
      <c r="A22" s="2" t="s">
        <v>137</v>
      </c>
      <c r="B22" s="2">
        <v>200</v>
      </c>
      <c r="C22" s="2"/>
      <c r="D22" s="2" t="s">
        <v>145</v>
      </c>
      <c r="E22" s="5">
        <v>40</v>
      </c>
      <c r="F22" s="6">
        <f t="shared" si="0"/>
        <v>8</v>
      </c>
      <c r="G22" s="4"/>
      <c r="H22" s="4"/>
    </row>
    <row r="23" spans="1:8">
      <c r="A23" s="2" t="s">
        <v>15</v>
      </c>
      <c r="B23" s="2">
        <v>200</v>
      </c>
      <c r="C23" s="2"/>
      <c r="D23" s="2" t="s">
        <v>152</v>
      </c>
      <c r="E23" s="5">
        <v>20</v>
      </c>
      <c r="F23" s="6">
        <f t="shared" si="0"/>
        <v>4</v>
      </c>
      <c r="G23" s="4" t="s">
        <v>117</v>
      </c>
      <c r="H23" s="4"/>
    </row>
    <row r="24" spans="1:8">
      <c r="A24" s="9"/>
      <c r="B24" s="2">
        <v>200</v>
      </c>
      <c r="C24" s="2"/>
      <c r="D24" s="2" t="s">
        <v>10</v>
      </c>
      <c r="E24" s="5">
        <v>10</v>
      </c>
      <c r="F24" s="6">
        <f t="shared" si="0"/>
        <v>2</v>
      </c>
      <c r="G24" s="4"/>
      <c r="H24" s="4"/>
    </row>
    <row r="25" spans="1:8">
      <c r="A25" s="9"/>
      <c r="B25" s="2">
        <v>200</v>
      </c>
      <c r="C25" s="2" t="s">
        <v>139</v>
      </c>
      <c r="D25" s="2" t="s">
        <v>153</v>
      </c>
      <c r="E25" s="5">
        <v>40</v>
      </c>
      <c r="F25" s="6">
        <f t="shared" si="0"/>
        <v>8</v>
      </c>
      <c r="G25" s="4"/>
      <c r="H25" s="4"/>
    </row>
    <row r="26" spans="1:8">
      <c r="A26" s="9"/>
      <c r="B26" s="2">
        <v>200</v>
      </c>
      <c r="C26" s="2"/>
      <c r="D26" s="2" t="s">
        <v>154</v>
      </c>
      <c r="E26" s="5">
        <v>7</v>
      </c>
      <c r="F26" s="6">
        <f t="shared" si="0"/>
        <v>1.4</v>
      </c>
      <c r="G26" s="4"/>
      <c r="H26" s="4"/>
    </row>
    <row r="27" spans="1:8">
      <c r="A27" s="9"/>
      <c r="B27" s="2">
        <v>200</v>
      </c>
      <c r="C27" s="2" t="s">
        <v>140</v>
      </c>
      <c r="D27" s="2" t="s">
        <v>130</v>
      </c>
      <c r="E27" s="5">
        <v>60</v>
      </c>
      <c r="F27" s="6">
        <f t="shared" si="0"/>
        <v>12</v>
      </c>
      <c r="G27" s="4"/>
      <c r="H27" s="4"/>
    </row>
    <row r="28" spans="1:8">
      <c r="A28" s="9"/>
      <c r="B28" s="2">
        <v>200</v>
      </c>
      <c r="C28" s="2"/>
      <c r="D28" s="2" t="s">
        <v>155</v>
      </c>
      <c r="E28" s="5">
        <v>5</v>
      </c>
      <c r="F28" s="6">
        <f t="shared" si="0"/>
        <v>1</v>
      </c>
      <c r="G28" s="4"/>
      <c r="H28" s="4"/>
    </row>
    <row r="29" spans="1:8">
      <c r="A29" s="9"/>
      <c r="B29" s="2">
        <v>200</v>
      </c>
      <c r="C29" s="2"/>
      <c r="D29" s="2" t="s">
        <v>156</v>
      </c>
      <c r="E29" s="5">
        <v>10</v>
      </c>
      <c r="F29" s="6">
        <f t="shared" si="0"/>
        <v>2</v>
      </c>
      <c r="G29" s="4"/>
      <c r="H29" s="4"/>
    </row>
    <row r="30" spans="1:8">
      <c r="A30" s="9"/>
      <c r="B30" s="2">
        <v>200</v>
      </c>
      <c r="C30" s="2" t="s">
        <v>11</v>
      </c>
      <c r="D30" s="2" t="s">
        <v>11</v>
      </c>
      <c r="E30" s="5">
        <v>40</v>
      </c>
      <c r="F30" s="6">
        <f>(B30*E30)/1000</f>
        <v>8</v>
      </c>
      <c r="G30" s="4"/>
      <c r="H30" s="4"/>
    </row>
    <row r="31" spans="1:8">
      <c r="A31" s="7"/>
      <c r="B31" s="7"/>
      <c r="C31" s="7"/>
      <c r="D31" s="7"/>
      <c r="E31" s="7"/>
      <c r="F31" s="8"/>
      <c r="G31" s="7"/>
      <c r="H31" s="4"/>
    </row>
    <row r="32" spans="1:8">
      <c r="A32" s="3">
        <v>41802</v>
      </c>
      <c r="B32" s="2">
        <v>500</v>
      </c>
      <c r="C32" s="2" t="s">
        <v>141</v>
      </c>
      <c r="D32" s="2" t="s">
        <v>142</v>
      </c>
      <c r="E32" s="5">
        <v>2</v>
      </c>
      <c r="F32" s="6">
        <f t="shared" si="0"/>
        <v>1</v>
      </c>
      <c r="G32" s="4"/>
      <c r="H32" s="4"/>
    </row>
    <row r="33" spans="1:8">
      <c r="A33" s="2" t="s">
        <v>137</v>
      </c>
      <c r="B33" s="2">
        <v>500</v>
      </c>
      <c r="C33" s="2" t="s">
        <v>143</v>
      </c>
      <c r="D33" s="2" t="s">
        <v>144</v>
      </c>
      <c r="E33" s="5">
        <v>30</v>
      </c>
      <c r="F33" s="6">
        <f t="shared" si="0"/>
        <v>15</v>
      </c>
      <c r="G33" s="4"/>
      <c r="H33" s="4"/>
    </row>
    <row r="34" spans="1:8">
      <c r="A34" s="2" t="s">
        <v>12</v>
      </c>
      <c r="B34" s="2">
        <v>500</v>
      </c>
      <c r="C34" s="2"/>
      <c r="D34" s="2" t="s">
        <v>52</v>
      </c>
      <c r="E34" s="5">
        <v>25</v>
      </c>
      <c r="F34" s="6">
        <f t="shared" si="0"/>
        <v>12.5</v>
      </c>
      <c r="G34" s="4"/>
      <c r="H34" s="4"/>
    </row>
    <row r="35" spans="1:8">
      <c r="A35" s="4"/>
      <c r="B35" s="2">
        <v>500</v>
      </c>
      <c r="C35" s="2"/>
      <c r="D35" s="2" t="s">
        <v>145</v>
      </c>
      <c r="E35" s="5">
        <v>20</v>
      </c>
      <c r="F35" s="6">
        <f t="shared" si="0"/>
        <v>10</v>
      </c>
      <c r="G35" s="4"/>
      <c r="H35" s="4"/>
    </row>
    <row r="36" spans="1:8">
      <c r="A36" s="4"/>
      <c r="B36" s="2">
        <v>500</v>
      </c>
      <c r="C36" s="2"/>
      <c r="D36" s="2" t="s">
        <v>158</v>
      </c>
      <c r="E36" s="5">
        <v>10</v>
      </c>
      <c r="F36" s="6">
        <f t="shared" si="0"/>
        <v>5</v>
      </c>
      <c r="G36" s="4" t="s">
        <v>159</v>
      </c>
      <c r="H36" s="4"/>
    </row>
    <row r="37" spans="1:8">
      <c r="A37" s="4"/>
      <c r="B37" s="2">
        <v>500</v>
      </c>
      <c r="C37" s="2"/>
      <c r="D37" s="2" t="s">
        <v>16</v>
      </c>
      <c r="E37" s="5">
        <v>10</v>
      </c>
      <c r="F37" s="6">
        <f t="shared" si="0"/>
        <v>5</v>
      </c>
      <c r="G37" s="4"/>
      <c r="H37" s="4"/>
    </row>
    <row r="38" spans="1:8">
      <c r="A38" s="4"/>
      <c r="B38" s="2">
        <v>500</v>
      </c>
      <c r="C38" s="2"/>
      <c r="D38" s="2" t="s">
        <v>35</v>
      </c>
      <c r="E38" s="5">
        <v>1</v>
      </c>
      <c r="F38" s="6">
        <f t="shared" si="0"/>
        <v>0.5</v>
      </c>
      <c r="G38" s="4"/>
      <c r="H38" s="4"/>
    </row>
    <row r="39" spans="1:8">
      <c r="A39" s="4"/>
      <c r="B39" s="2">
        <v>500</v>
      </c>
      <c r="C39" s="2" t="s">
        <v>146</v>
      </c>
      <c r="D39" s="2" t="s">
        <v>147</v>
      </c>
      <c r="E39" s="5">
        <v>80</v>
      </c>
      <c r="F39" s="6">
        <f t="shared" si="0"/>
        <v>40</v>
      </c>
      <c r="G39" s="4"/>
      <c r="H39" s="4"/>
    </row>
    <row r="40" spans="1:8">
      <c r="A40" s="4"/>
      <c r="B40" s="2">
        <v>500</v>
      </c>
      <c r="C40" s="2"/>
      <c r="D40" s="2" t="s">
        <v>148</v>
      </c>
      <c r="E40" s="5">
        <v>30</v>
      </c>
      <c r="F40" s="6">
        <f t="shared" si="0"/>
        <v>15</v>
      </c>
      <c r="G40" s="4"/>
      <c r="H40" s="4"/>
    </row>
    <row r="41" spans="1:8">
      <c r="A41" s="4"/>
      <c r="B41" s="2">
        <v>500</v>
      </c>
      <c r="C41" s="2" t="s">
        <v>149</v>
      </c>
      <c r="D41" s="2" t="s">
        <v>150</v>
      </c>
      <c r="E41" s="5">
        <v>50</v>
      </c>
      <c r="F41" s="6">
        <f>(B41*E41)/1000</f>
        <v>25</v>
      </c>
      <c r="G41" s="4"/>
      <c r="H41" s="4"/>
    </row>
    <row r="42" spans="1:8">
      <c r="A42" s="4"/>
      <c r="B42" s="2">
        <v>500</v>
      </c>
      <c r="C42" s="2"/>
      <c r="D42" s="2" t="s">
        <v>9</v>
      </c>
      <c r="E42" s="5">
        <v>5</v>
      </c>
      <c r="F42" s="6">
        <f t="shared" si="0"/>
        <v>2.5</v>
      </c>
      <c r="G42" s="4"/>
      <c r="H42" s="4"/>
    </row>
    <row r="43" spans="1:8">
      <c r="A43" s="4"/>
      <c r="B43" s="2">
        <v>500</v>
      </c>
      <c r="C43" s="2" t="s">
        <v>49</v>
      </c>
      <c r="D43" s="2" t="s">
        <v>49</v>
      </c>
      <c r="E43" s="5">
        <v>40</v>
      </c>
      <c r="F43" s="6">
        <f t="shared" si="0"/>
        <v>20</v>
      </c>
      <c r="G43" s="4"/>
      <c r="H43" s="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3"/>
  <sheetViews>
    <sheetView tabSelected="1" topLeftCell="A4" workbookViewId="0">
      <selection activeCell="F26" sqref="F26"/>
    </sheetView>
  </sheetViews>
  <sheetFormatPr defaultRowHeight="16.5"/>
  <cols>
    <col min="1" max="1" width="5.25" customWidth="1"/>
    <col min="2" max="2" width="5.125" customWidth="1"/>
    <col min="3" max="3" width="15.125" customWidth="1"/>
    <col min="4" max="4" width="16.25" customWidth="1"/>
    <col min="5" max="5" width="7.25" customWidth="1"/>
    <col min="6" max="6" width="10.375" customWidth="1"/>
    <col min="7" max="7" width="18.375" customWidth="1"/>
    <col min="8" max="8" width="0.375" customWidth="1"/>
  </cols>
  <sheetData>
    <row r="1" spans="1:9" ht="26.25" customHeight="1">
      <c r="A1" s="12" t="s">
        <v>160</v>
      </c>
      <c r="B1" s="13"/>
      <c r="C1" s="13"/>
      <c r="D1" s="13"/>
      <c r="E1" s="13"/>
      <c r="F1" s="13"/>
      <c r="G1" s="13"/>
      <c r="H1" s="14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41802</v>
      </c>
      <c r="B3" s="2">
        <v>480</v>
      </c>
      <c r="C3" s="2" t="s">
        <v>161</v>
      </c>
      <c r="D3" s="2" t="s">
        <v>165</v>
      </c>
      <c r="E3" s="5">
        <v>2</v>
      </c>
      <c r="F3" s="6">
        <f>(B3*E3)/1000</f>
        <v>0.96</v>
      </c>
      <c r="G3" s="4"/>
      <c r="H3" s="4"/>
    </row>
    <row r="4" spans="1:9">
      <c r="A4" s="2" t="s">
        <v>137</v>
      </c>
      <c r="B4" s="2">
        <v>480</v>
      </c>
      <c r="C4" s="2" t="s">
        <v>162</v>
      </c>
      <c r="D4" s="2" t="s">
        <v>166</v>
      </c>
      <c r="E4" s="5">
        <v>20</v>
      </c>
      <c r="F4" s="6">
        <f>(B4*E4)/1000</f>
        <v>9.6</v>
      </c>
      <c r="G4" s="4"/>
      <c r="H4" s="4"/>
    </row>
    <row r="5" spans="1:9">
      <c r="A5" s="2" t="s">
        <v>44</v>
      </c>
      <c r="B5" s="2">
        <v>480</v>
      </c>
      <c r="C5" s="2"/>
      <c r="D5" s="2" t="s">
        <v>167</v>
      </c>
      <c r="E5" s="5">
        <v>35</v>
      </c>
      <c r="F5" s="6">
        <f t="shared" ref="F5:F41" si="0">(B5*E5)/1000</f>
        <v>16.8</v>
      </c>
      <c r="G5" s="4"/>
      <c r="H5" s="4"/>
    </row>
    <row r="6" spans="1:9">
      <c r="A6" s="2"/>
      <c r="B6" s="2">
        <v>480</v>
      </c>
      <c r="C6" s="2"/>
      <c r="D6" s="2" t="s">
        <v>273</v>
      </c>
      <c r="E6" s="5">
        <v>10</v>
      </c>
      <c r="F6" s="6">
        <f>(B6*E6)/1000</f>
        <v>4.8</v>
      </c>
      <c r="G6" s="4" t="s">
        <v>159</v>
      </c>
      <c r="H6" s="4"/>
    </row>
    <row r="7" spans="1:9">
      <c r="A7" s="2"/>
      <c r="B7" s="2">
        <v>480</v>
      </c>
      <c r="C7" s="2"/>
      <c r="D7" s="2" t="s">
        <v>156</v>
      </c>
      <c r="E7" s="5">
        <v>10</v>
      </c>
      <c r="F7" s="6">
        <f t="shared" si="0"/>
        <v>4.8</v>
      </c>
      <c r="G7" s="4"/>
      <c r="H7" s="4"/>
    </row>
    <row r="8" spans="1:9">
      <c r="A8" s="2"/>
      <c r="B8" s="2">
        <v>480</v>
      </c>
      <c r="C8" s="2"/>
      <c r="D8" s="2" t="s">
        <v>274</v>
      </c>
      <c r="E8" s="5">
        <v>1</v>
      </c>
      <c r="F8" s="6">
        <f t="shared" si="0"/>
        <v>0.48</v>
      </c>
      <c r="G8" s="4"/>
      <c r="H8" s="4"/>
    </row>
    <row r="9" spans="1:9">
      <c r="A9" s="2"/>
      <c r="B9" s="2">
        <v>480</v>
      </c>
      <c r="C9" s="2" t="s">
        <v>128</v>
      </c>
      <c r="D9" s="2" t="s">
        <v>275</v>
      </c>
      <c r="E9" s="5">
        <v>150</v>
      </c>
      <c r="F9" s="6">
        <f t="shared" si="0"/>
        <v>72</v>
      </c>
      <c r="G9" s="4"/>
      <c r="H9" s="4"/>
    </row>
    <row r="10" spans="1:9">
      <c r="A10" s="2"/>
      <c r="B10" s="2">
        <v>480</v>
      </c>
      <c r="C10" s="2"/>
      <c r="D10" s="2" t="s">
        <v>168</v>
      </c>
      <c r="E10" s="5">
        <v>40</v>
      </c>
      <c r="F10" s="6">
        <f t="shared" si="0"/>
        <v>19.2</v>
      </c>
      <c r="G10" s="4"/>
      <c r="H10" s="4"/>
    </row>
    <row r="11" spans="1:9">
      <c r="A11" s="2"/>
      <c r="B11" s="2">
        <v>480</v>
      </c>
      <c r="C11" s="2"/>
      <c r="D11" s="2" t="s">
        <v>16</v>
      </c>
      <c r="E11" s="5">
        <v>30</v>
      </c>
      <c r="F11" s="6">
        <f t="shared" si="0"/>
        <v>14.4</v>
      </c>
      <c r="G11" s="4"/>
      <c r="H11" s="4"/>
    </row>
    <row r="12" spans="1:9">
      <c r="A12" s="2"/>
      <c r="B12" s="2">
        <v>480</v>
      </c>
      <c r="C12" s="2"/>
      <c r="D12" s="2" t="s">
        <v>130</v>
      </c>
      <c r="E12" s="5">
        <v>10</v>
      </c>
      <c r="F12" s="6">
        <f t="shared" si="0"/>
        <v>4.8</v>
      </c>
      <c r="G12" s="4"/>
      <c r="H12" s="4"/>
    </row>
    <row r="13" spans="1:9">
      <c r="A13" s="2"/>
      <c r="B13" s="2">
        <v>480</v>
      </c>
      <c r="C13" s="2"/>
      <c r="D13" s="2" t="s">
        <v>9</v>
      </c>
      <c r="E13" s="5">
        <v>10</v>
      </c>
      <c r="F13" s="6">
        <f t="shared" si="0"/>
        <v>4.8</v>
      </c>
      <c r="G13" s="4"/>
      <c r="H13" s="4"/>
    </row>
    <row r="14" spans="1:9">
      <c r="A14" s="2"/>
      <c r="B14" s="2">
        <v>480</v>
      </c>
      <c r="C14" s="2"/>
      <c r="D14" s="2" t="s">
        <v>156</v>
      </c>
      <c r="E14" s="5">
        <v>10</v>
      </c>
      <c r="F14" s="6">
        <f t="shared" si="0"/>
        <v>4.8</v>
      </c>
      <c r="G14" s="4" t="s">
        <v>117</v>
      </c>
      <c r="H14" s="4"/>
    </row>
    <row r="15" spans="1:9">
      <c r="A15" s="2"/>
      <c r="B15" s="2">
        <v>480</v>
      </c>
      <c r="C15" s="2" t="s">
        <v>163</v>
      </c>
      <c r="D15" s="2" t="s">
        <v>169</v>
      </c>
      <c r="E15" s="5">
        <v>50</v>
      </c>
      <c r="F15" s="6">
        <f>(B15*E15)/1000</f>
        <v>24</v>
      </c>
      <c r="G15" s="4"/>
      <c r="H15" s="4"/>
    </row>
    <row r="16" spans="1:9">
      <c r="A16" s="2"/>
      <c r="B16" s="2">
        <v>480</v>
      </c>
      <c r="C16" s="2"/>
      <c r="D16" s="2" t="s">
        <v>170</v>
      </c>
      <c r="E16" s="5">
        <v>2</v>
      </c>
      <c r="F16" s="6">
        <f>(B16*E16)/1000</f>
        <v>0.96</v>
      </c>
      <c r="G16" s="4"/>
      <c r="H16" s="4"/>
    </row>
    <row r="17" spans="1:8">
      <c r="A17" s="2"/>
      <c r="B17" s="2">
        <v>480</v>
      </c>
      <c r="C17" s="2" t="s">
        <v>164</v>
      </c>
      <c r="D17" s="2" t="s">
        <v>164</v>
      </c>
      <c r="E17" s="5">
        <v>40</v>
      </c>
      <c r="F17" s="6">
        <f t="shared" ref="F17" si="1">(B17*E17)/1000</f>
        <v>19.2</v>
      </c>
      <c r="G17" s="4"/>
      <c r="H17" s="4"/>
    </row>
    <row r="18" spans="1:8">
      <c r="A18" s="10"/>
      <c r="B18" s="10"/>
      <c r="C18" s="10"/>
      <c r="D18" s="10"/>
      <c r="E18" s="7"/>
      <c r="F18" s="8">
        <f t="shared" si="0"/>
        <v>0</v>
      </c>
      <c r="G18" s="7"/>
      <c r="H18" s="4"/>
    </row>
    <row r="19" spans="1:8">
      <c r="A19" s="3">
        <v>41803</v>
      </c>
      <c r="B19" s="2">
        <v>200</v>
      </c>
      <c r="C19" s="2" t="s">
        <v>172</v>
      </c>
      <c r="D19" s="2" t="s">
        <v>173</v>
      </c>
      <c r="E19" s="5">
        <v>25</v>
      </c>
      <c r="F19" s="6">
        <f t="shared" si="0"/>
        <v>5</v>
      </c>
      <c r="G19" s="4"/>
      <c r="H19" s="4"/>
    </row>
    <row r="20" spans="1:8">
      <c r="A20" s="2" t="s">
        <v>171</v>
      </c>
      <c r="B20" s="2">
        <v>200</v>
      </c>
      <c r="C20" s="2"/>
      <c r="D20" s="2" t="s">
        <v>167</v>
      </c>
      <c r="E20" s="5">
        <v>35</v>
      </c>
      <c r="F20" s="6">
        <f t="shared" si="0"/>
        <v>7</v>
      </c>
      <c r="G20" s="4"/>
      <c r="H20" s="4"/>
    </row>
    <row r="21" spans="1:8">
      <c r="A21" s="2" t="s">
        <v>15</v>
      </c>
      <c r="B21" s="2">
        <v>200</v>
      </c>
      <c r="C21" s="2" t="s">
        <v>174</v>
      </c>
      <c r="D21" s="2" t="s">
        <v>176</v>
      </c>
      <c r="E21" s="5">
        <v>100</v>
      </c>
      <c r="F21" s="6">
        <f t="shared" si="0"/>
        <v>20</v>
      </c>
      <c r="G21" s="4"/>
      <c r="H21" s="4"/>
    </row>
    <row r="22" spans="1:8">
      <c r="A22" s="9"/>
      <c r="B22" s="2">
        <v>200</v>
      </c>
      <c r="C22" s="2"/>
      <c r="D22" s="2" t="s">
        <v>177</v>
      </c>
      <c r="E22" s="5">
        <v>0</v>
      </c>
      <c r="F22" s="6">
        <f t="shared" si="0"/>
        <v>0</v>
      </c>
      <c r="G22" s="4"/>
      <c r="H22" s="4"/>
    </row>
    <row r="23" spans="1:8">
      <c r="A23" s="9"/>
      <c r="B23" s="2">
        <v>200</v>
      </c>
      <c r="C23" s="2" t="s">
        <v>175</v>
      </c>
      <c r="D23" s="2" t="s">
        <v>178</v>
      </c>
      <c r="E23" s="5">
        <v>15</v>
      </c>
      <c r="F23" s="6">
        <f t="shared" si="0"/>
        <v>3</v>
      </c>
      <c r="G23" s="4"/>
      <c r="H23" s="4"/>
    </row>
    <row r="24" spans="1:8">
      <c r="A24" s="9"/>
      <c r="B24" s="2">
        <v>200</v>
      </c>
      <c r="C24" s="2"/>
      <c r="D24" s="2" t="s">
        <v>168</v>
      </c>
      <c r="E24" s="5">
        <v>15</v>
      </c>
      <c r="F24" s="6">
        <f t="shared" si="0"/>
        <v>3</v>
      </c>
      <c r="G24" s="4"/>
      <c r="H24" s="4"/>
    </row>
    <row r="25" spans="1:8">
      <c r="A25" s="9"/>
      <c r="B25" s="2">
        <v>200</v>
      </c>
      <c r="C25" s="2"/>
      <c r="D25" s="2" t="s">
        <v>23</v>
      </c>
      <c r="E25" s="5">
        <v>2</v>
      </c>
      <c r="F25" s="6">
        <f t="shared" si="0"/>
        <v>0.4</v>
      </c>
      <c r="G25" s="4"/>
      <c r="H25" s="4"/>
    </row>
    <row r="26" spans="1:8">
      <c r="A26" s="9"/>
      <c r="B26" s="2">
        <v>200</v>
      </c>
      <c r="C26" s="2"/>
      <c r="D26" s="2" t="s">
        <v>274</v>
      </c>
      <c r="E26" s="5">
        <v>2</v>
      </c>
      <c r="F26" s="6">
        <f t="shared" si="0"/>
        <v>0.4</v>
      </c>
      <c r="G26" s="4" t="s">
        <v>276</v>
      </c>
      <c r="H26" s="4"/>
    </row>
    <row r="27" spans="1:8">
      <c r="A27" s="9"/>
      <c r="B27" s="2">
        <v>200</v>
      </c>
      <c r="C27" s="2" t="s">
        <v>11</v>
      </c>
      <c r="D27" s="2" t="s">
        <v>11</v>
      </c>
      <c r="E27" s="5">
        <v>40</v>
      </c>
      <c r="F27" s="6">
        <f>(B27*E27)/1000</f>
        <v>8</v>
      </c>
      <c r="G27" s="4"/>
      <c r="H27" s="4"/>
    </row>
    <row r="28" spans="1:8">
      <c r="A28" s="7"/>
      <c r="B28" s="7"/>
      <c r="C28" s="7"/>
      <c r="D28" s="7"/>
      <c r="E28" s="7"/>
      <c r="F28" s="8"/>
      <c r="G28" s="7"/>
      <c r="H28" s="4"/>
    </row>
    <row r="29" spans="1:8">
      <c r="A29" s="3">
        <v>41803</v>
      </c>
      <c r="B29" s="2">
        <v>450</v>
      </c>
      <c r="C29" s="2" t="s">
        <v>179</v>
      </c>
      <c r="D29" s="2" t="s">
        <v>180</v>
      </c>
      <c r="E29" s="5">
        <v>60</v>
      </c>
      <c r="F29" s="6">
        <f t="shared" si="0"/>
        <v>27</v>
      </c>
      <c r="G29" s="4"/>
      <c r="H29" s="4"/>
    </row>
    <row r="30" spans="1:8">
      <c r="A30" s="2" t="s">
        <v>171</v>
      </c>
      <c r="B30" s="2">
        <v>450</v>
      </c>
      <c r="C30" s="2" t="s">
        <v>183</v>
      </c>
      <c r="D30" s="2" t="s">
        <v>181</v>
      </c>
      <c r="E30" s="5">
        <v>40</v>
      </c>
      <c r="F30" s="6">
        <f t="shared" si="0"/>
        <v>18</v>
      </c>
      <c r="G30" s="4"/>
      <c r="H30" s="4"/>
    </row>
    <row r="31" spans="1:8">
      <c r="A31" s="2" t="s">
        <v>12</v>
      </c>
      <c r="B31" s="2">
        <v>450</v>
      </c>
      <c r="C31" s="2" t="s">
        <v>194</v>
      </c>
      <c r="D31" s="2" t="s">
        <v>9</v>
      </c>
      <c r="E31" s="5">
        <v>15</v>
      </c>
      <c r="F31" s="6">
        <f>(B31*E31)/1000</f>
        <v>6.75</v>
      </c>
      <c r="G31" s="4"/>
      <c r="H31" s="4"/>
    </row>
    <row r="32" spans="1:8">
      <c r="A32" s="4"/>
      <c r="B32" s="2">
        <v>450</v>
      </c>
      <c r="C32" s="2"/>
      <c r="D32" s="2" t="s">
        <v>76</v>
      </c>
      <c r="E32" s="5">
        <v>15</v>
      </c>
      <c r="F32" s="6">
        <f t="shared" si="0"/>
        <v>6.75</v>
      </c>
      <c r="G32" s="4"/>
      <c r="H32" s="4"/>
    </row>
    <row r="33" spans="1:8">
      <c r="A33" s="4"/>
      <c r="B33" s="2">
        <v>450</v>
      </c>
      <c r="C33" s="2"/>
      <c r="D33" s="2" t="s">
        <v>25</v>
      </c>
      <c r="E33" s="5">
        <v>15</v>
      </c>
      <c r="F33" s="6">
        <f t="shared" si="0"/>
        <v>6.75</v>
      </c>
      <c r="G33" s="4"/>
      <c r="H33" s="4"/>
    </row>
    <row r="34" spans="1:8">
      <c r="A34" s="4"/>
      <c r="B34" s="2">
        <v>450</v>
      </c>
      <c r="C34" s="2"/>
      <c r="D34" s="2" t="s">
        <v>182</v>
      </c>
      <c r="E34" s="5">
        <v>40</v>
      </c>
      <c r="F34" s="6">
        <f t="shared" si="0"/>
        <v>18</v>
      </c>
      <c r="G34" s="4"/>
      <c r="H34" s="4"/>
    </row>
    <row r="35" spans="1:8">
      <c r="A35" s="4"/>
      <c r="B35" s="2">
        <v>450</v>
      </c>
      <c r="C35" s="2" t="s">
        <v>184</v>
      </c>
      <c r="D35" s="2" t="s">
        <v>185</v>
      </c>
      <c r="E35" s="5">
        <v>2</v>
      </c>
      <c r="F35" s="6">
        <f t="shared" si="0"/>
        <v>0.9</v>
      </c>
      <c r="G35" s="4"/>
      <c r="H35" s="4"/>
    </row>
    <row r="36" spans="1:8">
      <c r="A36" s="4"/>
      <c r="B36" s="2">
        <v>450</v>
      </c>
      <c r="C36" s="2"/>
      <c r="D36" s="2" t="s">
        <v>186</v>
      </c>
      <c r="E36" s="5">
        <v>10</v>
      </c>
      <c r="F36" s="6">
        <f t="shared" si="0"/>
        <v>4.5</v>
      </c>
      <c r="G36" s="4"/>
      <c r="H36" s="4"/>
    </row>
    <row r="37" spans="1:8">
      <c r="A37" s="4"/>
      <c r="B37" s="2">
        <v>450</v>
      </c>
      <c r="C37" s="2" t="s">
        <v>187</v>
      </c>
      <c r="D37" s="2" t="s">
        <v>188</v>
      </c>
      <c r="E37" s="5">
        <v>80</v>
      </c>
      <c r="F37" s="6">
        <f t="shared" si="0"/>
        <v>36</v>
      </c>
      <c r="G37" s="4"/>
      <c r="H37" s="4"/>
    </row>
    <row r="38" spans="1:8">
      <c r="A38" s="4"/>
      <c r="B38" s="2">
        <v>450</v>
      </c>
      <c r="C38" s="2"/>
      <c r="D38" s="2" t="s">
        <v>189</v>
      </c>
      <c r="E38" s="5">
        <v>15</v>
      </c>
      <c r="F38" s="6">
        <f>(B38*E38)/1000</f>
        <v>6.75</v>
      </c>
      <c r="G38" s="4"/>
      <c r="H38" s="4"/>
    </row>
    <row r="39" spans="1:8">
      <c r="A39" s="4"/>
      <c r="B39" s="2">
        <v>450</v>
      </c>
      <c r="C39" s="2"/>
      <c r="D39" s="2" t="s">
        <v>9</v>
      </c>
      <c r="E39" s="5">
        <v>5</v>
      </c>
      <c r="F39" s="6">
        <f t="shared" si="0"/>
        <v>2.25</v>
      </c>
      <c r="G39" s="4"/>
      <c r="H39" s="4"/>
    </row>
    <row r="40" spans="1:8">
      <c r="A40" s="4"/>
      <c r="B40" s="2">
        <v>450</v>
      </c>
      <c r="C40" s="2"/>
      <c r="D40" s="2" t="s">
        <v>190</v>
      </c>
      <c r="E40" s="5">
        <v>20</v>
      </c>
      <c r="F40" s="6">
        <f t="shared" si="0"/>
        <v>9</v>
      </c>
      <c r="G40" s="4"/>
      <c r="H40" s="4"/>
    </row>
    <row r="41" spans="1:8">
      <c r="A41" s="4"/>
      <c r="B41" s="2">
        <v>450</v>
      </c>
      <c r="C41" s="2"/>
      <c r="D41" s="2" t="s">
        <v>191</v>
      </c>
      <c r="E41" s="5">
        <v>5</v>
      </c>
      <c r="F41" s="6">
        <f t="shared" si="0"/>
        <v>2.25</v>
      </c>
      <c r="G41" s="4"/>
      <c r="H41" s="4"/>
    </row>
    <row r="42" spans="1:8">
      <c r="A42" s="4"/>
      <c r="B42" s="2">
        <v>450</v>
      </c>
      <c r="C42" s="2" t="s">
        <v>11</v>
      </c>
      <c r="D42" s="2" t="s">
        <v>11</v>
      </c>
      <c r="E42" s="5">
        <v>40</v>
      </c>
      <c r="F42" s="6">
        <f>(B42*E42)/1000</f>
        <v>18</v>
      </c>
      <c r="G42" s="4"/>
      <c r="H42" s="4"/>
    </row>
    <row r="43" spans="1:8">
      <c r="A43" s="4"/>
      <c r="B43" s="2">
        <v>450</v>
      </c>
      <c r="C43" s="2" t="s">
        <v>192</v>
      </c>
      <c r="D43" s="2" t="s">
        <v>192</v>
      </c>
      <c r="E43" s="5">
        <v>60</v>
      </c>
      <c r="F43" s="11" t="s">
        <v>193</v>
      </c>
      <c r="G43" s="4"/>
      <c r="H43" s="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3"/>
  <sheetViews>
    <sheetView topLeftCell="A18" workbookViewId="0">
      <selection activeCell="E15" sqref="E15"/>
    </sheetView>
  </sheetViews>
  <sheetFormatPr defaultRowHeight="16.5"/>
  <cols>
    <col min="1" max="1" width="5.25" customWidth="1"/>
    <col min="2" max="2" width="5.125" customWidth="1"/>
    <col min="3" max="3" width="15.125" customWidth="1"/>
    <col min="4" max="4" width="16.25" customWidth="1"/>
    <col min="5" max="5" width="7.25" customWidth="1"/>
    <col min="6" max="6" width="10.375" customWidth="1"/>
    <col min="7" max="7" width="18.375" customWidth="1"/>
    <col min="8" max="8" width="0.375" customWidth="1"/>
  </cols>
  <sheetData>
    <row r="1" spans="1:9" ht="26.25" customHeight="1">
      <c r="A1" s="12" t="s">
        <v>195</v>
      </c>
      <c r="B1" s="13"/>
      <c r="C1" s="13"/>
      <c r="D1" s="13"/>
      <c r="E1" s="13"/>
      <c r="F1" s="13"/>
      <c r="G1" s="13"/>
      <c r="H1" s="14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41803</v>
      </c>
      <c r="B3" s="2">
        <v>450</v>
      </c>
      <c r="C3" s="2" t="s">
        <v>196</v>
      </c>
      <c r="D3" s="2" t="s">
        <v>198</v>
      </c>
      <c r="E3" s="5">
        <v>2</v>
      </c>
      <c r="F3" s="6">
        <f>(B3*E3)/1000</f>
        <v>0.9</v>
      </c>
      <c r="G3" s="4"/>
      <c r="H3" s="4"/>
    </row>
    <row r="4" spans="1:9">
      <c r="A4" s="2" t="s">
        <v>171</v>
      </c>
      <c r="B4" s="2">
        <v>450</v>
      </c>
      <c r="C4" s="2" t="s">
        <v>197</v>
      </c>
      <c r="D4" s="2" t="s">
        <v>201</v>
      </c>
      <c r="E4" s="5">
        <v>35</v>
      </c>
      <c r="F4" s="6">
        <f>(B4*E4)/1000</f>
        <v>15.75</v>
      </c>
      <c r="G4" s="4"/>
      <c r="H4" s="4"/>
    </row>
    <row r="5" spans="1:9">
      <c r="A5" s="2" t="s">
        <v>44</v>
      </c>
      <c r="B5" s="2">
        <v>450</v>
      </c>
      <c r="C5" s="2"/>
      <c r="D5" s="2" t="s">
        <v>34</v>
      </c>
      <c r="E5" s="5">
        <v>25</v>
      </c>
      <c r="F5" s="6">
        <f t="shared" ref="F5:F43" si="0">(B5*E5)/1000</f>
        <v>11.25</v>
      </c>
      <c r="G5" s="4"/>
      <c r="H5" s="4"/>
    </row>
    <row r="6" spans="1:9">
      <c r="A6" s="2"/>
      <c r="B6" s="2">
        <v>450</v>
      </c>
      <c r="C6" s="2"/>
      <c r="D6" s="2" t="s">
        <v>202</v>
      </c>
      <c r="E6" s="5">
        <v>10</v>
      </c>
      <c r="F6" s="6">
        <f t="shared" si="0"/>
        <v>4.5</v>
      </c>
      <c r="G6" s="4"/>
      <c r="H6" s="4"/>
    </row>
    <row r="7" spans="1:9">
      <c r="A7" s="2"/>
      <c r="B7" s="2">
        <v>450</v>
      </c>
      <c r="C7" s="2"/>
      <c r="D7" s="2" t="s">
        <v>203</v>
      </c>
      <c r="E7" s="5">
        <v>2</v>
      </c>
      <c r="F7" s="6">
        <f t="shared" si="0"/>
        <v>0.9</v>
      </c>
      <c r="G7" s="4"/>
      <c r="H7" s="4"/>
    </row>
    <row r="8" spans="1:9">
      <c r="A8" s="2"/>
      <c r="B8" s="2">
        <v>450</v>
      </c>
      <c r="C8" s="2"/>
      <c r="D8" s="2" t="s">
        <v>23</v>
      </c>
      <c r="E8" s="5">
        <v>2</v>
      </c>
      <c r="F8" s="6">
        <f t="shared" si="0"/>
        <v>0.9</v>
      </c>
      <c r="G8" s="4"/>
      <c r="H8" s="4"/>
    </row>
    <row r="9" spans="1:9">
      <c r="A9" s="2"/>
      <c r="B9" s="2">
        <v>450</v>
      </c>
      <c r="C9" s="2" t="s">
        <v>199</v>
      </c>
      <c r="D9" s="2" t="s">
        <v>204</v>
      </c>
      <c r="E9" s="5">
        <v>50</v>
      </c>
      <c r="F9" s="6">
        <f t="shared" si="0"/>
        <v>22.5</v>
      </c>
      <c r="G9" s="4"/>
      <c r="H9" s="4"/>
    </row>
    <row r="10" spans="1:9">
      <c r="A10" s="2"/>
      <c r="B10" s="2">
        <v>450</v>
      </c>
      <c r="C10" s="2"/>
      <c r="D10" s="2" t="s">
        <v>205</v>
      </c>
      <c r="E10" s="5">
        <v>20</v>
      </c>
      <c r="F10" s="6">
        <f t="shared" si="0"/>
        <v>9</v>
      </c>
      <c r="G10" s="4"/>
      <c r="H10" s="4"/>
    </row>
    <row r="11" spans="1:9">
      <c r="A11" s="2"/>
      <c r="B11" s="2">
        <v>450</v>
      </c>
      <c r="C11" s="2"/>
      <c r="D11" s="2" t="s">
        <v>206</v>
      </c>
      <c r="E11" s="5">
        <v>10</v>
      </c>
      <c r="F11" s="6">
        <f t="shared" si="0"/>
        <v>4.5</v>
      </c>
      <c r="G11" s="4"/>
      <c r="H11" s="4"/>
    </row>
    <row r="12" spans="1:9">
      <c r="A12" s="2"/>
      <c r="B12" s="2">
        <v>450</v>
      </c>
      <c r="C12" s="2"/>
      <c r="D12" s="2" t="s">
        <v>207</v>
      </c>
      <c r="E12" s="5">
        <v>10</v>
      </c>
      <c r="F12" s="6">
        <f t="shared" si="0"/>
        <v>4.5</v>
      </c>
      <c r="G12" s="4"/>
      <c r="H12" s="4"/>
    </row>
    <row r="13" spans="1:9">
      <c r="A13" s="2"/>
      <c r="B13" s="2">
        <v>450</v>
      </c>
      <c r="C13" s="2"/>
      <c r="D13" s="2" t="s">
        <v>210</v>
      </c>
      <c r="E13" s="5">
        <v>5</v>
      </c>
      <c r="F13" s="6">
        <f t="shared" si="0"/>
        <v>2.25</v>
      </c>
      <c r="G13" s="4"/>
      <c r="H13" s="4"/>
    </row>
    <row r="14" spans="1:9">
      <c r="A14" s="2"/>
      <c r="B14" s="2">
        <v>450</v>
      </c>
      <c r="C14" s="2" t="s">
        <v>200</v>
      </c>
      <c r="D14" s="2" t="s">
        <v>208</v>
      </c>
      <c r="E14" s="5">
        <v>50</v>
      </c>
      <c r="F14" s="6">
        <f t="shared" si="0"/>
        <v>22.5</v>
      </c>
      <c r="G14" s="4"/>
      <c r="H14" s="4"/>
    </row>
    <row r="15" spans="1:9">
      <c r="A15" s="2"/>
      <c r="B15" s="2">
        <v>450</v>
      </c>
      <c r="C15" s="2"/>
      <c r="D15" s="2" t="s">
        <v>8</v>
      </c>
      <c r="E15" s="5">
        <v>10</v>
      </c>
      <c r="F15" s="6">
        <f>(B15*E15)/1000</f>
        <v>4.5</v>
      </c>
      <c r="G15" s="4"/>
      <c r="H15" s="4"/>
    </row>
    <row r="16" spans="1:9">
      <c r="A16" s="2"/>
      <c r="B16" s="2">
        <v>450</v>
      </c>
      <c r="C16" s="2"/>
      <c r="D16" s="2" t="s">
        <v>26</v>
      </c>
      <c r="E16" s="5">
        <v>2</v>
      </c>
      <c r="F16" s="6">
        <f>(B16*E16)/1000</f>
        <v>0.9</v>
      </c>
      <c r="G16" s="4"/>
      <c r="H16" s="4"/>
    </row>
    <row r="17" spans="1:8">
      <c r="A17" s="2"/>
      <c r="B17" s="2">
        <v>450</v>
      </c>
      <c r="C17" s="2"/>
      <c r="D17" s="2" t="s">
        <v>209</v>
      </c>
      <c r="E17" s="5">
        <v>0</v>
      </c>
      <c r="F17" s="6">
        <f>(B17*E17)/1000</f>
        <v>0</v>
      </c>
      <c r="G17" s="4"/>
      <c r="H17" s="4"/>
    </row>
    <row r="18" spans="1:8">
      <c r="A18" s="2"/>
      <c r="B18" s="2">
        <v>450</v>
      </c>
      <c r="C18" s="2" t="s">
        <v>11</v>
      </c>
      <c r="D18" s="2" t="s">
        <v>11</v>
      </c>
      <c r="E18" s="5">
        <v>40</v>
      </c>
      <c r="F18" s="6">
        <f t="shared" ref="F18" si="1">(B18*E18)/1000</f>
        <v>18</v>
      </c>
      <c r="G18" s="4"/>
      <c r="H18" s="4"/>
    </row>
    <row r="19" spans="1:8">
      <c r="A19" s="10"/>
      <c r="B19" s="10"/>
      <c r="C19" s="10"/>
      <c r="D19" s="10"/>
      <c r="E19" s="7"/>
      <c r="F19" s="8">
        <f t="shared" si="0"/>
        <v>0</v>
      </c>
      <c r="G19" s="7"/>
      <c r="H19" s="4"/>
    </row>
    <row r="20" spans="1:8">
      <c r="A20" s="3">
        <v>41804</v>
      </c>
      <c r="B20" s="2">
        <v>100</v>
      </c>
      <c r="C20" s="2" t="s">
        <v>212</v>
      </c>
      <c r="D20" s="2" t="s">
        <v>214</v>
      </c>
      <c r="E20" s="5">
        <v>80</v>
      </c>
      <c r="F20" s="6">
        <f t="shared" si="0"/>
        <v>8</v>
      </c>
      <c r="G20" s="4"/>
      <c r="H20" s="4"/>
    </row>
    <row r="21" spans="1:8">
      <c r="A21" s="2" t="s">
        <v>211</v>
      </c>
      <c r="B21" s="2">
        <v>100</v>
      </c>
      <c r="C21" s="2"/>
      <c r="D21" s="2" t="s">
        <v>215</v>
      </c>
      <c r="E21" s="5">
        <v>30</v>
      </c>
      <c r="F21" s="6">
        <f t="shared" si="0"/>
        <v>3</v>
      </c>
      <c r="G21" s="4"/>
      <c r="H21" s="4"/>
    </row>
    <row r="22" spans="1:8">
      <c r="A22" s="2" t="s">
        <v>15</v>
      </c>
      <c r="B22" s="2">
        <v>100</v>
      </c>
      <c r="C22" s="2"/>
      <c r="D22" s="2" t="s">
        <v>16</v>
      </c>
      <c r="E22" s="5">
        <v>10</v>
      </c>
      <c r="F22" s="6">
        <f t="shared" si="0"/>
        <v>1</v>
      </c>
      <c r="G22" s="4"/>
      <c r="H22" s="4"/>
    </row>
    <row r="23" spans="1:8">
      <c r="A23" s="9"/>
      <c r="B23" s="2">
        <v>100</v>
      </c>
      <c r="C23" s="2"/>
      <c r="D23" s="2" t="s">
        <v>216</v>
      </c>
      <c r="E23" s="5">
        <v>10</v>
      </c>
      <c r="F23" s="6">
        <f t="shared" si="0"/>
        <v>1</v>
      </c>
      <c r="G23" s="4"/>
      <c r="H23" s="4"/>
    </row>
    <row r="24" spans="1:8">
      <c r="A24" s="9"/>
      <c r="B24" s="2">
        <v>100</v>
      </c>
      <c r="C24" s="2"/>
      <c r="D24" s="2" t="s">
        <v>8</v>
      </c>
      <c r="E24" s="5">
        <v>10</v>
      </c>
      <c r="F24" s="6">
        <f t="shared" si="0"/>
        <v>1</v>
      </c>
      <c r="G24" s="4"/>
      <c r="H24" s="4"/>
    </row>
    <row r="25" spans="1:8">
      <c r="A25" s="9"/>
      <c r="B25" s="2">
        <v>100</v>
      </c>
      <c r="C25" s="2"/>
      <c r="D25" s="2" t="s">
        <v>217</v>
      </c>
      <c r="E25" s="5">
        <v>0</v>
      </c>
      <c r="F25" s="6">
        <f t="shared" si="0"/>
        <v>0</v>
      </c>
      <c r="G25" s="4"/>
      <c r="H25" s="4"/>
    </row>
    <row r="26" spans="1:8">
      <c r="A26" s="9"/>
      <c r="B26" s="2">
        <v>100</v>
      </c>
      <c r="C26" s="2" t="s">
        <v>213</v>
      </c>
      <c r="D26" s="2" t="s">
        <v>218</v>
      </c>
      <c r="E26" s="5">
        <v>70</v>
      </c>
      <c r="F26" s="6">
        <f t="shared" si="0"/>
        <v>7</v>
      </c>
      <c r="G26" s="4"/>
      <c r="H26" s="4"/>
    </row>
    <row r="27" spans="1:8">
      <c r="A27" s="9"/>
      <c r="B27" s="2">
        <v>100</v>
      </c>
      <c r="C27" s="2"/>
      <c r="D27" s="2" t="s">
        <v>10</v>
      </c>
      <c r="E27" s="5">
        <v>120</v>
      </c>
      <c r="F27" s="6">
        <f t="shared" si="0"/>
        <v>12</v>
      </c>
      <c r="G27" s="4" t="s">
        <v>209</v>
      </c>
      <c r="H27" s="4"/>
    </row>
    <row r="28" spans="1:8">
      <c r="A28" s="9"/>
      <c r="B28" s="2">
        <v>100</v>
      </c>
      <c r="C28" s="2" t="s">
        <v>219</v>
      </c>
      <c r="D28" s="2" t="s">
        <v>180</v>
      </c>
      <c r="E28" s="5">
        <v>20</v>
      </c>
      <c r="F28" s="6">
        <f t="shared" si="0"/>
        <v>2</v>
      </c>
      <c r="G28" s="4"/>
      <c r="H28" s="4"/>
    </row>
    <row r="29" spans="1:8">
      <c r="A29" s="9"/>
      <c r="B29" s="2">
        <v>100</v>
      </c>
      <c r="C29" s="2"/>
      <c r="D29" s="2" t="s">
        <v>52</v>
      </c>
      <c r="E29" s="5">
        <v>40</v>
      </c>
      <c r="F29" s="6">
        <f t="shared" si="0"/>
        <v>4</v>
      </c>
      <c r="G29" s="4"/>
      <c r="H29" s="4"/>
    </row>
    <row r="30" spans="1:8">
      <c r="A30" s="9"/>
      <c r="B30" s="2">
        <v>100</v>
      </c>
      <c r="C30" s="2"/>
      <c r="D30" s="2" t="s">
        <v>8</v>
      </c>
      <c r="E30" s="5">
        <v>20</v>
      </c>
      <c r="F30" s="6">
        <f t="shared" si="0"/>
        <v>2</v>
      </c>
      <c r="G30" s="4" t="s">
        <v>117</v>
      </c>
      <c r="H30" s="4"/>
    </row>
    <row r="31" spans="1:8">
      <c r="A31" s="9"/>
      <c r="B31" s="2">
        <v>100</v>
      </c>
      <c r="C31" s="2" t="s">
        <v>220</v>
      </c>
      <c r="D31" s="2" t="s">
        <v>220</v>
      </c>
      <c r="E31" s="5">
        <v>0</v>
      </c>
      <c r="F31" s="11" t="s">
        <v>221</v>
      </c>
      <c r="G31" s="4"/>
      <c r="H31" s="4"/>
    </row>
    <row r="32" spans="1:8">
      <c r="A32" s="7"/>
      <c r="B32" s="7"/>
      <c r="C32" s="7"/>
      <c r="D32" s="7"/>
      <c r="E32" s="7"/>
      <c r="F32" s="8"/>
      <c r="G32" s="7"/>
      <c r="H32" s="4"/>
    </row>
    <row r="33" spans="1:8">
      <c r="A33" s="3">
        <v>41804</v>
      </c>
      <c r="B33" s="2">
        <v>500</v>
      </c>
      <c r="C33" s="2" t="s">
        <v>68</v>
      </c>
      <c r="D33" s="2" t="s">
        <v>72</v>
      </c>
      <c r="E33" s="5">
        <v>2</v>
      </c>
      <c r="F33" s="6">
        <f t="shared" si="0"/>
        <v>1</v>
      </c>
      <c r="G33" s="4"/>
      <c r="H33" s="4"/>
    </row>
    <row r="34" spans="1:8">
      <c r="A34" s="2" t="s">
        <v>211</v>
      </c>
      <c r="B34" s="2">
        <v>500</v>
      </c>
      <c r="C34" s="2" t="s">
        <v>222</v>
      </c>
      <c r="D34" s="2" t="s">
        <v>223</v>
      </c>
      <c r="E34" s="5">
        <v>10</v>
      </c>
      <c r="F34" s="6">
        <f t="shared" si="0"/>
        <v>5</v>
      </c>
      <c r="G34" s="4"/>
      <c r="H34" s="4"/>
    </row>
    <row r="35" spans="1:8">
      <c r="A35" s="2" t="s">
        <v>12</v>
      </c>
      <c r="B35" s="2">
        <v>500</v>
      </c>
      <c r="C35" s="2"/>
      <c r="D35" s="2" t="s">
        <v>34</v>
      </c>
      <c r="E35" s="5">
        <v>20</v>
      </c>
      <c r="F35" s="6">
        <f>(B35*E35)/1000</f>
        <v>10</v>
      </c>
      <c r="G35" s="4" t="s">
        <v>117</v>
      </c>
      <c r="H35" s="4"/>
    </row>
    <row r="36" spans="1:8">
      <c r="A36" s="4"/>
      <c r="B36" s="2">
        <v>500</v>
      </c>
      <c r="C36" s="2" t="s">
        <v>224</v>
      </c>
      <c r="D36" s="2" t="s">
        <v>226</v>
      </c>
      <c r="E36" s="5">
        <v>100</v>
      </c>
      <c r="F36" s="6">
        <f t="shared" si="0"/>
        <v>50</v>
      </c>
      <c r="G36" s="4"/>
      <c r="H36" s="4"/>
    </row>
    <row r="37" spans="1:8">
      <c r="A37" s="4"/>
      <c r="B37" s="2">
        <v>500</v>
      </c>
      <c r="C37" s="2"/>
      <c r="D37" s="2" t="s">
        <v>227</v>
      </c>
      <c r="E37" s="5">
        <v>20</v>
      </c>
      <c r="F37" s="6">
        <f t="shared" si="0"/>
        <v>10</v>
      </c>
      <c r="G37" s="4"/>
      <c r="H37" s="4"/>
    </row>
    <row r="38" spans="1:8">
      <c r="A38" s="4"/>
      <c r="B38" s="2">
        <v>500</v>
      </c>
      <c r="C38" s="2"/>
      <c r="D38" s="2" t="s">
        <v>228</v>
      </c>
      <c r="E38" s="5">
        <v>30</v>
      </c>
      <c r="F38" s="6">
        <f t="shared" si="0"/>
        <v>15</v>
      </c>
      <c r="G38" s="4"/>
      <c r="H38" s="4"/>
    </row>
    <row r="39" spans="1:8">
      <c r="A39" s="4"/>
      <c r="B39" s="2">
        <v>500</v>
      </c>
      <c r="C39" s="2"/>
      <c r="D39" s="2" t="s">
        <v>229</v>
      </c>
      <c r="E39" s="5">
        <v>5</v>
      </c>
      <c r="F39" s="6">
        <f t="shared" si="0"/>
        <v>2.5</v>
      </c>
      <c r="G39" s="4"/>
      <c r="H39" s="4"/>
    </row>
    <row r="40" spans="1:8">
      <c r="A40" s="4"/>
      <c r="B40" s="2">
        <v>500</v>
      </c>
      <c r="C40" s="2"/>
      <c r="D40" s="2" t="s">
        <v>230</v>
      </c>
      <c r="E40" s="5">
        <v>0</v>
      </c>
      <c r="F40" s="6">
        <f t="shared" si="0"/>
        <v>0</v>
      </c>
      <c r="G40" s="4"/>
      <c r="H40" s="4"/>
    </row>
    <row r="41" spans="1:8">
      <c r="A41" s="4"/>
      <c r="B41" s="2">
        <v>500</v>
      </c>
      <c r="C41" s="2" t="s">
        <v>225</v>
      </c>
      <c r="D41" s="2" t="s">
        <v>231</v>
      </c>
      <c r="E41" s="5">
        <v>60</v>
      </c>
      <c r="F41" s="6">
        <f>(B41*E41)/1000</f>
        <v>30</v>
      </c>
      <c r="G41" s="4"/>
      <c r="H41" s="4"/>
    </row>
    <row r="42" spans="1:8">
      <c r="A42" s="4"/>
      <c r="B42" s="2">
        <v>500</v>
      </c>
      <c r="C42" s="2"/>
      <c r="D42" s="2" t="s">
        <v>177</v>
      </c>
      <c r="E42" s="5">
        <v>0</v>
      </c>
      <c r="F42" s="6">
        <f t="shared" si="0"/>
        <v>0</v>
      </c>
      <c r="G42" s="4"/>
      <c r="H42" s="4"/>
    </row>
    <row r="43" spans="1:8">
      <c r="A43" s="4"/>
      <c r="B43" s="2">
        <v>500</v>
      </c>
      <c r="C43" s="2" t="s">
        <v>11</v>
      </c>
      <c r="D43" s="2" t="s">
        <v>11</v>
      </c>
      <c r="E43" s="5">
        <v>40</v>
      </c>
      <c r="F43" s="6">
        <f t="shared" si="0"/>
        <v>20</v>
      </c>
      <c r="G43" s="4"/>
      <c r="H43" s="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I42"/>
  <sheetViews>
    <sheetView topLeftCell="A3" workbookViewId="0">
      <selection activeCell="F19" sqref="F19"/>
    </sheetView>
  </sheetViews>
  <sheetFormatPr defaultRowHeight="16.5"/>
  <cols>
    <col min="1" max="1" width="5.25" customWidth="1"/>
    <col min="2" max="2" width="5.125" customWidth="1"/>
    <col min="3" max="3" width="15.125" customWidth="1"/>
    <col min="4" max="4" width="16.25" customWidth="1"/>
    <col min="5" max="5" width="7.25" customWidth="1"/>
    <col min="6" max="6" width="10.375" customWidth="1"/>
    <col min="7" max="7" width="18.375" customWidth="1"/>
    <col min="8" max="8" width="0.375" customWidth="1"/>
  </cols>
  <sheetData>
    <row r="1" spans="1:9" ht="26.25" customHeight="1">
      <c r="A1" s="12" t="s">
        <v>232</v>
      </c>
      <c r="B1" s="13"/>
      <c r="C1" s="13"/>
      <c r="D1" s="13"/>
      <c r="E1" s="13"/>
      <c r="F1" s="13"/>
      <c r="G1" s="13"/>
      <c r="H1" s="14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41804</v>
      </c>
      <c r="B3" s="2">
        <v>450</v>
      </c>
      <c r="C3" s="2" t="s">
        <v>13</v>
      </c>
      <c r="D3" s="2" t="s">
        <v>14</v>
      </c>
      <c r="E3" s="5">
        <v>2</v>
      </c>
      <c r="F3" s="6">
        <f>(B3*E3)/1000</f>
        <v>0.9</v>
      </c>
      <c r="G3" s="4"/>
      <c r="H3" s="4"/>
    </row>
    <row r="4" spans="1:9">
      <c r="A4" s="2" t="s">
        <v>211</v>
      </c>
      <c r="B4" s="2">
        <v>450</v>
      </c>
      <c r="C4" s="2" t="s">
        <v>233</v>
      </c>
      <c r="D4" s="2" t="s">
        <v>236</v>
      </c>
      <c r="E4" s="5">
        <v>170</v>
      </c>
      <c r="F4" s="6">
        <f>(B4*E4)/1000</f>
        <v>76.5</v>
      </c>
      <c r="G4" s="4"/>
      <c r="H4" s="4"/>
    </row>
    <row r="5" spans="1:9">
      <c r="A5" s="2" t="s">
        <v>44</v>
      </c>
      <c r="B5" s="2">
        <v>450</v>
      </c>
      <c r="C5" s="2" t="s">
        <v>183</v>
      </c>
      <c r="D5" s="2" t="s">
        <v>52</v>
      </c>
      <c r="E5" s="5">
        <v>30</v>
      </c>
      <c r="F5" s="6">
        <f t="shared" ref="F5:F42" si="0">(B5*E5)/1000</f>
        <v>13.5</v>
      </c>
      <c r="G5" s="4"/>
      <c r="H5" s="4"/>
    </row>
    <row r="6" spans="1:9">
      <c r="A6" s="2"/>
      <c r="B6" s="2">
        <v>450</v>
      </c>
      <c r="C6" s="2"/>
      <c r="D6" s="2" t="s">
        <v>89</v>
      </c>
      <c r="E6" s="5">
        <v>50</v>
      </c>
      <c r="F6" s="6">
        <f t="shared" si="0"/>
        <v>22.5</v>
      </c>
      <c r="G6" s="4"/>
      <c r="H6" s="4"/>
    </row>
    <row r="7" spans="1:9">
      <c r="A7" s="2"/>
      <c r="B7" s="2">
        <v>450</v>
      </c>
      <c r="C7" s="2"/>
      <c r="D7" s="2" t="s">
        <v>237</v>
      </c>
      <c r="E7" s="5">
        <v>10</v>
      </c>
      <c r="F7" s="6">
        <f t="shared" si="0"/>
        <v>4.5</v>
      </c>
      <c r="G7" s="4"/>
      <c r="H7" s="4"/>
    </row>
    <row r="8" spans="1:9">
      <c r="A8" s="2"/>
      <c r="B8" s="2">
        <v>450</v>
      </c>
      <c r="C8" s="2"/>
      <c r="D8" s="2" t="s">
        <v>238</v>
      </c>
      <c r="E8" s="5">
        <v>5</v>
      </c>
      <c r="F8" s="6">
        <f t="shared" si="0"/>
        <v>2.25</v>
      </c>
      <c r="G8" s="4"/>
      <c r="H8" s="4"/>
    </row>
    <row r="9" spans="1:9">
      <c r="A9" s="2"/>
      <c r="B9" s="2">
        <v>450</v>
      </c>
      <c r="C9" s="2"/>
      <c r="D9" s="2" t="s">
        <v>23</v>
      </c>
      <c r="E9" s="5">
        <v>2</v>
      </c>
      <c r="F9" s="6">
        <f t="shared" si="0"/>
        <v>0.9</v>
      </c>
      <c r="G9" s="4"/>
      <c r="H9" s="4"/>
    </row>
    <row r="10" spans="1:9">
      <c r="A10" s="2"/>
      <c r="B10" s="2">
        <v>450</v>
      </c>
      <c r="C10" s="2" t="s">
        <v>234</v>
      </c>
      <c r="D10" s="2" t="s">
        <v>239</v>
      </c>
      <c r="E10" s="5">
        <v>70</v>
      </c>
      <c r="F10" s="6">
        <f t="shared" si="0"/>
        <v>31.5</v>
      </c>
      <c r="G10" s="4"/>
      <c r="H10" s="4"/>
    </row>
    <row r="11" spans="1:9">
      <c r="A11" s="2"/>
      <c r="B11" s="2">
        <v>450</v>
      </c>
      <c r="C11" s="2"/>
      <c r="D11" s="2" t="s">
        <v>240</v>
      </c>
      <c r="E11" s="5">
        <v>30</v>
      </c>
      <c r="F11" s="6">
        <f t="shared" si="0"/>
        <v>13.5</v>
      </c>
      <c r="G11" s="4"/>
      <c r="H11" s="4"/>
    </row>
    <row r="12" spans="1:9">
      <c r="A12" s="2"/>
      <c r="B12" s="2">
        <v>450</v>
      </c>
      <c r="C12" s="2"/>
      <c r="D12" s="2" t="s">
        <v>190</v>
      </c>
      <c r="E12" s="5">
        <v>30</v>
      </c>
      <c r="F12" s="6">
        <f t="shared" si="0"/>
        <v>13.5</v>
      </c>
      <c r="G12" s="4"/>
      <c r="H12" s="4"/>
    </row>
    <row r="13" spans="1:9">
      <c r="A13" s="2"/>
      <c r="B13" s="2">
        <v>450</v>
      </c>
      <c r="C13" s="2"/>
      <c r="D13" s="2" t="s">
        <v>271</v>
      </c>
      <c r="E13" s="5">
        <v>2</v>
      </c>
      <c r="F13" s="6">
        <f t="shared" si="0"/>
        <v>0.9</v>
      </c>
      <c r="G13" s="4"/>
      <c r="H13" s="4"/>
    </row>
    <row r="14" spans="1:9">
      <c r="A14" s="2"/>
      <c r="B14" s="2">
        <v>450</v>
      </c>
      <c r="C14" s="2" t="s">
        <v>49</v>
      </c>
      <c r="D14" s="2" t="s">
        <v>49</v>
      </c>
      <c r="E14" s="5">
        <v>40</v>
      </c>
      <c r="F14" s="6">
        <f t="shared" si="0"/>
        <v>18</v>
      </c>
      <c r="G14" s="4"/>
      <c r="H14" s="4"/>
    </row>
    <row r="15" spans="1:9">
      <c r="A15" s="2"/>
      <c r="B15" s="2">
        <v>450</v>
      </c>
      <c r="C15" s="2" t="s">
        <v>235</v>
      </c>
      <c r="D15" s="2" t="s">
        <v>235</v>
      </c>
      <c r="E15" s="5">
        <v>0</v>
      </c>
      <c r="F15" s="11" t="s">
        <v>193</v>
      </c>
      <c r="G15" s="4"/>
      <c r="H15" s="4"/>
    </row>
    <row r="16" spans="1:9">
      <c r="A16" s="10"/>
      <c r="B16" s="10"/>
      <c r="C16" s="10"/>
      <c r="D16" s="10"/>
      <c r="E16" s="7"/>
      <c r="F16" s="8">
        <f t="shared" si="0"/>
        <v>0</v>
      </c>
      <c r="G16" s="7"/>
      <c r="H16" s="4"/>
    </row>
    <row r="17" spans="1:8">
      <c r="A17" s="3">
        <v>41805</v>
      </c>
      <c r="B17" s="2">
        <v>250</v>
      </c>
      <c r="C17" s="2" t="s">
        <v>242</v>
      </c>
      <c r="D17" s="2" t="s">
        <v>244</v>
      </c>
      <c r="E17" s="5">
        <v>100</v>
      </c>
      <c r="F17" s="6">
        <f t="shared" si="0"/>
        <v>25</v>
      </c>
      <c r="G17" s="4"/>
      <c r="H17" s="4"/>
    </row>
    <row r="18" spans="1:8">
      <c r="A18" s="2" t="s">
        <v>241</v>
      </c>
      <c r="B18" s="2">
        <v>250</v>
      </c>
      <c r="C18" s="2"/>
      <c r="D18" s="2" t="s">
        <v>245</v>
      </c>
      <c r="E18" s="5">
        <v>0</v>
      </c>
      <c r="F18" s="6">
        <f t="shared" si="0"/>
        <v>0</v>
      </c>
      <c r="G18" s="4"/>
      <c r="H18" s="4"/>
    </row>
    <row r="19" spans="1:8">
      <c r="A19" s="2" t="s">
        <v>15</v>
      </c>
      <c r="B19" s="2">
        <v>250</v>
      </c>
      <c r="C19" s="2" t="s">
        <v>243</v>
      </c>
      <c r="D19" s="2" t="s">
        <v>249</v>
      </c>
      <c r="E19" s="5">
        <v>200</v>
      </c>
      <c r="F19" s="11" t="s">
        <v>272</v>
      </c>
      <c r="G19" s="4"/>
      <c r="H19" s="4"/>
    </row>
    <row r="20" spans="1:8">
      <c r="A20" s="9"/>
      <c r="B20" s="2">
        <v>250</v>
      </c>
      <c r="C20" s="2" t="s">
        <v>246</v>
      </c>
      <c r="D20" s="2" t="s">
        <v>250</v>
      </c>
      <c r="E20" s="5">
        <v>60</v>
      </c>
      <c r="F20" s="6">
        <f t="shared" si="0"/>
        <v>15</v>
      </c>
      <c r="G20" s="4"/>
      <c r="H20" s="4"/>
    </row>
    <row r="21" spans="1:8">
      <c r="A21" s="9"/>
      <c r="B21" s="2">
        <v>250</v>
      </c>
      <c r="C21" s="2"/>
      <c r="D21" s="2" t="s">
        <v>251</v>
      </c>
      <c r="E21" s="5">
        <v>5</v>
      </c>
      <c r="F21" s="6">
        <f t="shared" si="0"/>
        <v>1.25</v>
      </c>
      <c r="G21" s="4"/>
      <c r="H21" s="4"/>
    </row>
    <row r="22" spans="1:8">
      <c r="A22" s="9"/>
      <c r="B22" s="2">
        <v>250</v>
      </c>
      <c r="C22" s="2" t="s">
        <v>247</v>
      </c>
      <c r="D22" s="2" t="s">
        <v>252</v>
      </c>
      <c r="E22" s="5">
        <v>50</v>
      </c>
      <c r="F22" s="6">
        <f t="shared" si="0"/>
        <v>12.5</v>
      </c>
      <c r="G22" s="4"/>
      <c r="H22" s="4"/>
    </row>
    <row r="23" spans="1:8">
      <c r="A23" s="9"/>
      <c r="B23" s="2">
        <v>250</v>
      </c>
      <c r="C23" s="2"/>
      <c r="D23" s="2" t="s">
        <v>253</v>
      </c>
      <c r="E23" s="5">
        <v>20</v>
      </c>
      <c r="F23" s="6">
        <f t="shared" si="0"/>
        <v>5</v>
      </c>
      <c r="G23" s="4"/>
      <c r="H23" s="4"/>
    </row>
    <row r="24" spans="1:8">
      <c r="A24" s="9"/>
      <c r="B24" s="2">
        <v>250</v>
      </c>
      <c r="C24" s="2"/>
      <c r="D24" s="2" t="s">
        <v>78</v>
      </c>
      <c r="E24" s="5">
        <v>10</v>
      </c>
      <c r="F24" s="6">
        <f t="shared" si="0"/>
        <v>2.5</v>
      </c>
      <c r="G24" s="4"/>
      <c r="H24" s="4"/>
    </row>
    <row r="25" spans="1:8">
      <c r="A25" s="9"/>
      <c r="B25" s="2">
        <v>250</v>
      </c>
      <c r="C25" s="2"/>
      <c r="D25" s="2" t="s">
        <v>240</v>
      </c>
      <c r="E25" s="5">
        <v>30</v>
      </c>
      <c r="F25" s="6">
        <f>(B25*E25)/1000</f>
        <v>7.5</v>
      </c>
      <c r="G25" s="4"/>
      <c r="H25" s="4"/>
    </row>
    <row r="26" spans="1:8">
      <c r="A26" s="9"/>
      <c r="B26" s="2">
        <v>250</v>
      </c>
      <c r="C26" s="2"/>
      <c r="D26" s="2" t="s">
        <v>254</v>
      </c>
      <c r="E26" s="5">
        <v>10</v>
      </c>
      <c r="F26" s="6">
        <f t="shared" si="0"/>
        <v>2.5</v>
      </c>
      <c r="G26" s="4"/>
      <c r="H26" s="4"/>
    </row>
    <row r="27" spans="1:8">
      <c r="A27" s="9"/>
      <c r="B27" s="2">
        <v>250</v>
      </c>
      <c r="C27" s="2"/>
      <c r="D27" s="2" t="s">
        <v>255</v>
      </c>
      <c r="E27" s="5">
        <v>30</v>
      </c>
      <c r="F27" s="6">
        <f t="shared" si="0"/>
        <v>7.5</v>
      </c>
      <c r="G27" s="4"/>
      <c r="H27" s="4"/>
    </row>
    <row r="28" spans="1:8">
      <c r="A28" s="9"/>
      <c r="B28" s="2">
        <v>250</v>
      </c>
      <c r="C28" s="2" t="s">
        <v>248</v>
      </c>
      <c r="D28" s="2" t="s">
        <v>248</v>
      </c>
      <c r="E28" s="5">
        <v>100</v>
      </c>
      <c r="F28" s="11" t="s">
        <v>256</v>
      </c>
      <c r="G28" s="4"/>
      <c r="H28" s="4"/>
    </row>
    <row r="29" spans="1:8">
      <c r="A29" s="7"/>
      <c r="B29" s="7"/>
      <c r="C29" s="7"/>
      <c r="D29" s="7"/>
      <c r="E29" s="7"/>
      <c r="F29" s="8"/>
      <c r="G29" s="7"/>
      <c r="H29" s="4"/>
    </row>
    <row r="30" spans="1:8">
      <c r="A30" s="3">
        <v>41805</v>
      </c>
      <c r="B30" s="2">
        <v>400</v>
      </c>
      <c r="C30" s="2" t="s">
        <v>257</v>
      </c>
      <c r="D30" s="2" t="s">
        <v>260</v>
      </c>
      <c r="E30" s="5">
        <v>40</v>
      </c>
      <c r="F30" s="6">
        <f t="shared" si="0"/>
        <v>16</v>
      </c>
      <c r="G30" s="4"/>
      <c r="H30" s="4"/>
    </row>
    <row r="31" spans="1:8">
      <c r="A31" s="2" t="s">
        <v>241</v>
      </c>
      <c r="B31" s="2">
        <v>400</v>
      </c>
      <c r="C31" s="2"/>
      <c r="D31" s="2" t="s">
        <v>23</v>
      </c>
      <c r="E31" s="5">
        <v>2</v>
      </c>
      <c r="F31" s="6">
        <f t="shared" si="0"/>
        <v>0.8</v>
      </c>
      <c r="G31" s="4"/>
      <c r="H31" s="4"/>
    </row>
    <row r="32" spans="1:8">
      <c r="A32" s="2" t="s">
        <v>12</v>
      </c>
      <c r="B32" s="2">
        <v>400</v>
      </c>
      <c r="C32" s="2"/>
      <c r="D32" s="2" t="s">
        <v>8</v>
      </c>
      <c r="E32" s="5">
        <v>10</v>
      </c>
      <c r="F32" s="6">
        <f>(B32*E32)/1000</f>
        <v>4</v>
      </c>
      <c r="G32" s="4"/>
      <c r="H32" s="4"/>
    </row>
    <row r="33" spans="1:8">
      <c r="A33" s="4"/>
      <c r="B33" s="2">
        <v>400</v>
      </c>
      <c r="C33" s="2" t="s">
        <v>258</v>
      </c>
      <c r="D33" s="2" t="s">
        <v>261</v>
      </c>
      <c r="E33" s="5">
        <v>110</v>
      </c>
      <c r="F33" s="6">
        <f t="shared" si="0"/>
        <v>44</v>
      </c>
      <c r="G33" s="4"/>
      <c r="H33" s="4"/>
    </row>
    <row r="34" spans="1:8">
      <c r="A34" s="4"/>
      <c r="B34" s="2">
        <v>400</v>
      </c>
      <c r="C34" s="2"/>
      <c r="D34" s="2" t="s">
        <v>262</v>
      </c>
      <c r="E34" s="5">
        <v>30</v>
      </c>
      <c r="F34" s="6">
        <f t="shared" si="0"/>
        <v>12</v>
      </c>
      <c r="G34" s="4"/>
      <c r="H34" s="4"/>
    </row>
    <row r="35" spans="1:8">
      <c r="A35" s="4"/>
      <c r="B35" s="2">
        <v>400</v>
      </c>
      <c r="C35" s="2"/>
      <c r="D35" s="2" t="s">
        <v>78</v>
      </c>
      <c r="E35" s="5">
        <v>10</v>
      </c>
      <c r="F35" s="6">
        <f t="shared" si="0"/>
        <v>4</v>
      </c>
      <c r="G35" s="4"/>
      <c r="H35" s="4"/>
    </row>
    <row r="36" spans="1:8">
      <c r="A36" s="4"/>
      <c r="B36" s="2">
        <v>400</v>
      </c>
      <c r="C36" s="2"/>
      <c r="D36" s="2" t="s">
        <v>263</v>
      </c>
      <c r="E36" s="5">
        <v>10</v>
      </c>
      <c r="F36" s="6">
        <f t="shared" si="0"/>
        <v>4</v>
      </c>
      <c r="G36" s="4"/>
      <c r="H36" s="4"/>
    </row>
    <row r="37" spans="1:8">
      <c r="A37" s="4"/>
      <c r="B37" s="2">
        <v>400</v>
      </c>
      <c r="C37" s="2"/>
      <c r="D37" s="2" t="s">
        <v>8</v>
      </c>
      <c r="E37" s="5">
        <v>10</v>
      </c>
      <c r="F37" s="6">
        <f t="shared" si="0"/>
        <v>4</v>
      </c>
      <c r="G37" s="4"/>
      <c r="H37" s="4"/>
    </row>
    <row r="38" spans="1:8">
      <c r="A38" s="4"/>
      <c r="B38" s="2">
        <v>400</v>
      </c>
      <c r="C38" s="2"/>
      <c r="D38" s="2" t="s">
        <v>9</v>
      </c>
      <c r="E38" s="5">
        <v>2</v>
      </c>
      <c r="F38" s="6">
        <f>(B38*E38)/1000</f>
        <v>0.8</v>
      </c>
      <c r="G38" s="4"/>
      <c r="H38" s="4"/>
    </row>
    <row r="39" spans="1:8">
      <c r="A39" s="4"/>
      <c r="B39" s="2">
        <v>400</v>
      </c>
      <c r="C39" s="2" t="s">
        <v>259</v>
      </c>
      <c r="D39" s="2" t="s">
        <v>264</v>
      </c>
      <c r="E39" s="5">
        <v>30</v>
      </c>
      <c r="F39" s="6">
        <f t="shared" si="0"/>
        <v>12</v>
      </c>
      <c r="G39" s="4"/>
      <c r="H39" s="4"/>
    </row>
    <row r="40" spans="1:8">
      <c r="A40" s="4"/>
      <c r="B40" s="2">
        <v>400</v>
      </c>
      <c r="C40" s="2"/>
      <c r="D40" s="2" t="s">
        <v>8</v>
      </c>
      <c r="E40" s="5">
        <v>10</v>
      </c>
      <c r="F40" s="6">
        <f t="shared" si="0"/>
        <v>4</v>
      </c>
      <c r="G40" s="4"/>
      <c r="H40" s="4"/>
    </row>
    <row r="41" spans="1:8">
      <c r="A41" s="4"/>
      <c r="B41" s="2">
        <v>400</v>
      </c>
      <c r="C41" s="2"/>
      <c r="D41" s="2" t="s">
        <v>9</v>
      </c>
      <c r="E41" s="5">
        <v>3</v>
      </c>
      <c r="F41" s="6">
        <f t="shared" si="0"/>
        <v>1.2</v>
      </c>
      <c r="G41" s="4"/>
      <c r="H41" s="4"/>
    </row>
    <row r="42" spans="1:8">
      <c r="A42" s="4"/>
      <c r="B42" s="2">
        <v>400</v>
      </c>
      <c r="C42" s="2" t="s">
        <v>11</v>
      </c>
      <c r="D42" s="2" t="s">
        <v>11</v>
      </c>
      <c r="E42" s="5">
        <v>40</v>
      </c>
      <c r="F42" s="6">
        <f t="shared" si="0"/>
        <v>16</v>
      </c>
      <c r="G42" s="4"/>
      <c r="H42" s="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4"/>
  <sheetViews>
    <sheetView workbookViewId="0">
      <selection activeCell="F12" sqref="F12"/>
    </sheetView>
  </sheetViews>
  <sheetFormatPr defaultRowHeight="16.5"/>
  <cols>
    <col min="1" max="1" width="5.25" customWidth="1"/>
    <col min="2" max="2" width="5.125" customWidth="1"/>
    <col min="3" max="3" width="15.125" customWidth="1"/>
    <col min="4" max="4" width="16.25" customWidth="1"/>
    <col min="5" max="5" width="7.25" customWidth="1"/>
    <col min="6" max="6" width="10.375" customWidth="1"/>
    <col min="7" max="7" width="18.375" customWidth="1"/>
    <col min="8" max="8" width="0.375" customWidth="1"/>
  </cols>
  <sheetData>
    <row r="1" spans="1:9" ht="26.25" customHeight="1">
      <c r="A1" s="12" t="s">
        <v>232</v>
      </c>
      <c r="B1" s="13"/>
      <c r="C1" s="13"/>
      <c r="D1" s="13"/>
      <c r="E1" s="13"/>
      <c r="F1" s="13"/>
      <c r="G1" s="13"/>
      <c r="H1" s="14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41805</v>
      </c>
      <c r="B3" s="2">
        <v>480</v>
      </c>
      <c r="C3" s="2" t="s">
        <v>265</v>
      </c>
      <c r="D3" s="2" t="s">
        <v>88</v>
      </c>
      <c r="E3" s="5">
        <v>60</v>
      </c>
      <c r="F3" s="6">
        <f>(B3*E3)/1000</f>
        <v>28.8</v>
      </c>
      <c r="G3" s="4"/>
      <c r="H3" s="4"/>
    </row>
    <row r="4" spans="1:9">
      <c r="A4" s="2" t="s">
        <v>241</v>
      </c>
      <c r="B4" s="2">
        <v>480</v>
      </c>
      <c r="C4" s="2"/>
      <c r="D4" s="2" t="s">
        <v>266</v>
      </c>
      <c r="E4" s="5">
        <v>60</v>
      </c>
      <c r="F4" s="6">
        <f>(B4*E4)/1000</f>
        <v>28.8</v>
      </c>
      <c r="G4" s="4"/>
      <c r="H4" s="4"/>
    </row>
    <row r="5" spans="1:9">
      <c r="A5" s="2" t="s">
        <v>44</v>
      </c>
      <c r="B5" s="2">
        <v>480</v>
      </c>
      <c r="C5" s="2"/>
      <c r="D5" s="2" t="s">
        <v>239</v>
      </c>
      <c r="E5" s="5">
        <v>30</v>
      </c>
      <c r="F5" s="6">
        <f t="shared" ref="F5:F17" si="0">(B5*E5)/1000</f>
        <v>14.4</v>
      </c>
      <c r="G5" s="4"/>
      <c r="H5" s="4"/>
    </row>
    <row r="6" spans="1:9">
      <c r="A6" s="2"/>
      <c r="B6" s="2">
        <v>480</v>
      </c>
      <c r="C6" s="2"/>
      <c r="D6" s="2" t="s">
        <v>267</v>
      </c>
      <c r="E6" s="5">
        <v>10</v>
      </c>
      <c r="F6" s="6">
        <f t="shared" si="0"/>
        <v>4.8</v>
      </c>
      <c r="G6" s="4"/>
      <c r="H6" s="4"/>
    </row>
    <row r="7" spans="1:9">
      <c r="A7" s="2"/>
      <c r="B7" s="2">
        <v>480</v>
      </c>
      <c r="C7" s="2"/>
      <c r="D7" s="2" t="s">
        <v>43</v>
      </c>
      <c r="E7" s="5">
        <v>40</v>
      </c>
      <c r="F7" s="6">
        <f t="shared" si="0"/>
        <v>19.2</v>
      </c>
      <c r="G7" s="4"/>
      <c r="H7" s="4"/>
    </row>
    <row r="8" spans="1:9">
      <c r="A8" s="2"/>
      <c r="B8" s="2">
        <v>480</v>
      </c>
      <c r="C8" s="2"/>
      <c r="D8" s="2" t="s">
        <v>8</v>
      </c>
      <c r="E8" s="5">
        <v>10</v>
      </c>
      <c r="F8" s="6">
        <f t="shared" si="0"/>
        <v>4.8</v>
      </c>
      <c r="G8" s="4"/>
      <c r="H8" s="4"/>
    </row>
    <row r="9" spans="1:9">
      <c r="A9" s="2"/>
      <c r="B9" s="2">
        <v>480</v>
      </c>
      <c r="C9" s="2"/>
      <c r="D9" s="2" t="s">
        <v>9</v>
      </c>
      <c r="E9" s="5">
        <v>5</v>
      </c>
      <c r="F9" s="6">
        <f t="shared" si="0"/>
        <v>2.4</v>
      </c>
      <c r="G9" s="4"/>
      <c r="H9" s="4"/>
    </row>
    <row r="10" spans="1:9">
      <c r="A10" s="2"/>
      <c r="B10" s="2">
        <v>480</v>
      </c>
      <c r="C10" s="2"/>
      <c r="D10" s="2" t="s">
        <v>268</v>
      </c>
      <c r="E10" s="5">
        <v>2</v>
      </c>
      <c r="F10" s="6">
        <f t="shared" si="0"/>
        <v>0.96</v>
      </c>
      <c r="G10" s="4"/>
      <c r="H10" s="4"/>
    </row>
    <row r="11" spans="1:9">
      <c r="A11" s="2"/>
      <c r="B11" s="2">
        <v>480</v>
      </c>
      <c r="C11" s="2" t="s">
        <v>269</v>
      </c>
      <c r="D11" s="2" t="s">
        <v>238</v>
      </c>
      <c r="E11" s="5">
        <v>5</v>
      </c>
      <c r="F11" s="6">
        <f t="shared" si="0"/>
        <v>2.4</v>
      </c>
      <c r="G11" s="4"/>
      <c r="H11" s="4"/>
    </row>
    <row r="12" spans="1:9">
      <c r="A12" s="2"/>
      <c r="B12" s="2">
        <v>480</v>
      </c>
      <c r="C12" s="2"/>
      <c r="D12" s="2" t="s">
        <v>34</v>
      </c>
      <c r="E12" s="5">
        <v>40</v>
      </c>
      <c r="F12" s="6">
        <f t="shared" si="0"/>
        <v>19.2</v>
      </c>
      <c r="G12" s="4"/>
      <c r="H12" s="4"/>
    </row>
    <row r="13" spans="1:9">
      <c r="A13" s="2"/>
      <c r="B13" s="2">
        <v>480</v>
      </c>
      <c r="C13" s="2"/>
      <c r="D13" s="2" t="s">
        <v>23</v>
      </c>
      <c r="E13" s="5">
        <v>2</v>
      </c>
      <c r="F13" s="6">
        <f t="shared" si="0"/>
        <v>0.96</v>
      </c>
      <c r="G13" s="4"/>
      <c r="H13" s="4"/>
    </row>
    <row r="14" spans="1:9">
      <c r="A14" s="2"/>
      <c r="B14" s="2">
        <v>480</v>
      </c>
      <c r="C14" s="2" t="s">
        <v>270</v>
      </c>
      <c r="D14" s="2" t="s">
        <v>270</v>
      </c>
      <c r="E14" s="5">
        <v>120</v>
      </c>
      <c r="F14" s="6">
        <f t="shared" si="0"/>
        <v>57.6</v>
      </c>
      <c r="G14" s="4"/>
      <c r="H14" s="4"/>
    </row>
    <row r="15" spans="1:9">
      <c r="A15" s="2"/>
      <c r="B15" s="2">
        <v>480</v>
      </c>
      <c r="C15" s="2"/>
      <c r="D15" s="2" t="s">
        <v>230</v>
      </c>
      <c r="E15" s="5">
        <v>0</v>
      </c>
      <c r="F15" s="6">
        <f t="shared" si="0"/>
        <v>0</v>
      </c>
      <c r="G15" s="4"/>
      <c r="H15" s="4"/>
    </row>
    <row r="16" spans="1:9">
      <c r="A16" s="2"/>
      <c r="B16" s="2">
        <v>480</v>
      </c>
      <c r="C16" s="2"/>
      <c r="D16" s="2" t="s">
        <v>262</v>
      </c>
      <c r="E16" s="5">
        <v>20</v>
      </c>
      <c r="F16" s="6">
        <f t="shared" si="0"/>
        <v>9.6</v>
      </c>
      <c r="G16" s="4"/>
      <c r="H16" s="4"/>
    </row>
    <row r="17" spans="1:8">
      <c r="A17" s="2"/>
      <c r="B17" s="2">
        <v>480</v>
      </c>
      <c r="C17" s="2" t="s">
        <v>11</v>
      </c>
      <c r="D17" s="2" t="s">
        <v>11</v>
      </c>
      <c r="E17" s="5">
        <v>40</v>
      </c>
      <c r="F17" s="6">
        <f t="shared" si="0"/>
        <v>19.2</v>
      </c>
      <c r="G17" s="4"/>
      <c r="H17" s="4"/>
    </row>
    <row r="18" spans="1:8">
      <c r="A18" s="10"/>
      <c r="B18" s="10"/>
      <c r="C18" s="10"/>
      <c r="D18" s="10"/>
      <c r="E18" s="7"/>
      <c r="F18" s="8"/>
      <c r="G18" s="7"/>
      <c r="H18" s="4"/>
    </row>
    <row r="19" spans="1:8">
      <c r="A19" s="3"/>
      <c r="B19" s="2"/>
      <c r="C19" s="2"/>
      <c r="D19" s="2"/>
      <c r="E19" s="5"/>
      <c r="F19" s="6"/>
      <c r="G19" s="4"/>
      <c r="H19" s="4"/>
    </row>
    <row r="20" spans="1:8">
      <c r="A20" s="2"/>
      <c r="B20" s="2"/>
      <c r="C20" s="2"/>
      <c r="D20" s="2"/>
      <c r="E20" s="5"/>
      <c r="F20" s="6"/>
      <c r="G20" s="4"/>
      <c r="H20" s="4"/>
    </row>
    <row r="21" spans="1:8">
      <c r="A21" s="2"/>
      <c r="B21" s="2"/>
      <c r="C21" s="2"/>
      <c r="D21" s="2"/>
      <c r="E21" s="5"/>
      <c r="F21" s="6"/>
      <c r="G21" s="4"/>
      <c r="H21" s="4"/>
    </row>
    <row r="22" spans="1:8">
      <c r="A22" s="9"/>
      <c r="B22" s="2"/>
      <c r="C22" s="2"/>
      <c r="D22" s="2"/>
      <c r="E22" s="5"/>
      <c r="F22" s="6"/>
      <c r="G22" s="4"/>
      <c r="H22" s="4"/>
    </row>
    <row r="23" spans="1:8">
      <c r="A23" s="9"/>
      <c r="B23" s="2"/>
      <c r="C23" s="2"/>
      <c r="D23" s="2"/>
      <c r="E23" s="5"/>
      <c r="F23" s="6"/>
      <c r="G23" s="4"/>
      <c r="H23" s="4"/>
    </row>
    <row r="24" spans="1:8">
      <c r="A24" s="9"/>
      <c r="B24" s="2"/>
      <c r="C24" s="2"/>
      <c r="D24" s="2"/>
      <c r="E24" s="5"/>
      <c r="F24" s="6"/>
      <c r="G24" s="4"/>
      <c r="H24" s="4"/>
    </row>
    <row r="25" spans="1:8">
      <c r="A25" s="9"/>
      <c r="B25" s="2"/>
      <c r="C25" s="2"/>
      <c r="D25" s="2"/>
      <c r="E25" s="5"/>
      <c r="F25" s="6"/>
      <c r="G25" s="4"/>
      <c r="H25" s="4"/>
    </row>
    <row r="26" spans="1:8">
      <c r="A26" s="9"/>
      <c r="B26" s="2"/>
      <c r="C26" s="2"/>
      <c r="D26" s="2"/>
      <c r="E26" s="5"/>
      <c r="F26" s="6"/>
      <c r="G26" s="4"/>
      <c r="H26" s="4"/>
    </row>
    <row r="27" spans="1:8">
      <c r="A27" s="9"/>
      <c r="B27" s="2"/>
      <c r="C27" s="2"/>
      <c r="D27" s="2"/>
      <c r="E27" s="5"/>
      <c r="F27" s="6"/>
      <c r="G27" s="4"/>
      <c r="H27" s="4"/>
    </row>
    <row r="28" spans="1:8">
      <c r="A28" s="9"/>
      <c r="B28" s="2"/>
      <c r="C28" s="2"/>
      <c r="D28" s="2"/>
      <c r="E28" s="5"/>
      <c r="F28" s="6"/>
      <c r="G28" s="4"/>
      <c r="H28" s="4"/>
    </row>
    <row r="29" spans="1:8">
      <c r="A29" s="9"/>
      <c r="B29" s="2"/>
      <c r="C29" s="2"/>
      <c r="D29" s="2"/>
      <c r="E29" s="5"/>
      <c r="F29" s="6"/>
      <c r="G29" s="4"/>
      <c r="H29" s="4"/>
    </row>
    <row r="30" spans="1:8">
      <c r="A30" s="9"/>
      <c r="B30" s="2"/>
      <c r="C30" s="2"/>
      <c r="D30" s="2"/>
      <c r="E30" s="5"/>
      <c r="F30" s="11"/>
      <c r="G30" s="4"/>
      <c r="H30" s="4"/>
    </row>
    <row r="31" spans="1:8">
      <c r="A31" s="7"/>
      <c r="B31" s="7"/>
      <c r="C31" s="7"/>
      <c r="D31" s="7"/>
      <c r="E31" s="7"/>
      <c r="F31" s="8"/>
      <c r="G31" s="7"/>
      <c r="H31" s="4"/>
    </row>
    <row r="32" spans="1:8">
      <c r="A32" s="3"/>
      <c r="B32" s="2"/>
      <c r="C32" s="2"/>
      <c r="D32" s="2"/>
      <c r="E32" s="5"/>
      <c r="F32" s="6"/>
      <c r="G32" s="4"/>
      <c r="H32" s="4"/>
    </row>
    <row r="33" spans="1:8">
      <c r="A33" s="2"/>
      <c r="B33" s="2"/>
      <c r="C33" s="2"/>
      <c r="D33" s="2"/>
      <c r="E33" s="5"/>
      <c r="F33" s="6"/>
      <c r="G33" s="4"/>
      <c r="H33" s="4"/>
    </row>
    <row r="34" spans="1:8">
      <c r="A34" s="2"/>
      <c r="B34" s="2"/>
      <c r="C34" s="2"/>
      <c r="D34" s="2"/>
      <c r="E34" s="5"/>
      <c r="F34" s="6"/>
      <c r="G34" s="4"/>
      <c r="H34" s="4"/>
    </row>
    <row r="35" spans="1:8">
      <c r="A35" s="4"/>
      <c r="B35" s="2"/>
      <c r="C35" s="2"/>
      <c r="D35" s="2"/>
      <c r="E35" s="5"/>
      <c r="F35" s="6"/>
      <c r="G35" s="4"/>
      <c r="H35" s="4"/>
    </row>
    <row r="36" spans="1:8">
      <c r="A36" s="4"/>
      <c r="B36" s="2"/>
      <c r="C36" s="2"/>
      <c r="D36" s="2"/>
      <c r="E36" s="5"/>
      <c r="F36" s="6"/>
      <c r="G36" s="4"/>
      <c r="H36" s="4"/>
    </row>
    <row r="37" spans="1:8">
      <c r="A37" s="4"/>
      <c r="B37" s="2"/>
      <c r="C37" s="2"/>
      <c r="D37" s="2"/>
      <c r="E37" s="5"/>
      <c r="F37" s="6"/>
      <c r="G37" s="4"/>
      <c r="H37" s="4"/>
    </row>
    <row r="38" spans="1:8">
      <c r="A38" s="4"/>
      <c r="B38" s="2"/>
      <c r="C38" s="2"/>
      <c r="D38" s="2"/>
      <c r="E38" s="5"/>
      <c r="F38" s="6"/>
      <c r="G38" s="4"/>
      <c r="H38" s="4"/>
    </row>
    <row r="39" spans="1:8">
      <c r="A39" s="4"/>
      <c r="B39" s="2"/>
      <c r="C39" s="2"/>
      <c r="D39" s="2"/>
      <c r="E39" s="5"/>
      <c r="F39" s="6"/>
      <c r="G39" s="4"/>
      <c r="H39" s="4"/>
    </row>
    <row r="40" spans="1:8">
      <c r="A40" s="4"/>
      <c r="B40" s="2"/>
      <c r="C40" s="2"/>
      <c r="D40" s="2"/>
      <c r="E40" s="5"/>
      <c r="F40" s="6"/>
      <c r="G40" s="4"/>
      <c r="H40" s="4"/>
    </row>
    <row r="41" spans="1:8">
      <c r="A41" s="4"/>
      <c r="B41" s="2"/>
      <c r="C41" s="2"/>
      <c r="D41" s="2"/>
      <c r="E41" s="5"/>
      <c r="F41" s="6"/>
      <c r="G41" s="4"/>
      <c r="H41" s="4"/>
    </row>
    <row r="42" spans="1:8">
      <c r="A42" s="4"/>
      <c r="B42" s="2"/>
      <c r="C42" s="2"/>
      <c r="D42" s="2"/>
      <c r="E42" s="5"/>
      <c r="F42" s="6"/>
      <c r="G42" s="4"/>
      <c r="H42" s="4"/>
    </row>
    <row r="43" spans="1:8">
      <c r="A43" s="4"/>
      <c r="B43" s="2"/>
      <c r="C43" s="2"/>
      <c r="D43" s="2"/>
      <c r="E43" s="5"/>
      <c r="F43" s="6"/>
      <c r="G43" s="4"/>
      <c r="H43" s="4"/>
    </row>
    <row r="44" spans="1:8">
      <c r="A44" s="4"/>
      <c r="B44" s="2"/>
      <c r="C44" s="2"/>
      <c r="D44" s="2"/>
      <c r="E44" s="5"/>
      <c r="F44" s="6"/>
      <c r="G44" s="4"/>
      <c r="H44" s="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일</vt:lpstr>
      <vt:lpstr>월</vt:lpstr>
      <vt:lpstr>화</vt:lpstr>
      <vt:lpstr>수</vt:lpstr>
      <vt:lpstr>목</vt:lpstr>
      <vt:lpstr>금</vt:lpstr>
      <vt:lpstr>토</vt:lpstr>
      <vt:lpstr>토 (2)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2014-06-08T09:12:01Z</cp:lastPrinted>
  <dcterms:created xsi:type="dcterms:W3CDTF">2014-04-07T13:23:25Z</dcterms:created>
  <dcterms:modified xsi:type="dcterms:W3CDTF">2014-06-08T09:16:23Z</dcterms:modified>
</cp:coreProperties>
</file>