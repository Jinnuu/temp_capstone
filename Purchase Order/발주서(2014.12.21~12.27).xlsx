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 activeTab="2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2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24" i="1"/>
  <c r="F34" i="5"/>
  <c r="F33"/>
  <c r="F32"/>
  <c r="F9"/>
  <c r="F11"/>
  <c r="F10"/>
  <c r="F8"/>
  <c r="F7"/>
  <c r="F6"/>
  <c r="F21" i="4"/>
  <c r="F23"/>
  <c r="F13"/>
  <c r="F36" i="5"/>
  <c r="F31"/>
  <c r="F30"/>
  <c r="F36" i="4"/>
  <c r="F35"/>
  <c r="F34"/>
  <c r="F22"/>
  <c r="F18" i="6"/>
  <c r="F6"/>
  <c r="F3"/>
  <c r="F30" i="9"/>
  <c r="F13" i="8"/>
  <c r="F12"/>
  <c r="F35" i="7"/>
  <c r="F40" i="8"/>
  <c r="F39"/>
  <c r="F12" i="10" l="1"/>
  <c r="F11"/>
  <c r="F10"/>
  <c r="F9"/>
  <c r="F8"/>
  <c r="F7"/>
  <c r="F6"/>
  <c r="F5"/>
  <c r="F4"/>
  <c r="F3"/>
  <c r="F38" i="9"/>
  <c r="F13"/>
  <c r="F12"/>
  <c r="F11"/>
  <c r="F39" l="1"/>
  <c r="F37"/>
  <c r="F36"/>
  <c r="F35"/>
  <c r="F34"/>
  <c r="F33"/>
  <c r="F32"/>
  <c r="F31"/>
  <c r="F29"/>
  <c r="F28"/>
  <c r="F27"/>
  <c r="F26"/>
  <c r="F23"/>
  <c r="F22"/>
  <c r="F21"/>
  <c r="F20"/>
  <c r="F19"/>
  <c r="F18"/>
  <c r="F10"/>
  <c r="F9"/>
  <c r="F8"/>
  <c r="F7"/>
  <c r="F6"/>
  <c r="F5"/>
  <c r="F4"/>
  <c r="F3"/>
  <c r="F33" i="8"/>
  <c r="F11"/>
  <c r="F41"/>
  <c r="F38"/>
  <c r="F37"/>
  <c r="F36"/>
  <c r="F35"/>
  <c r="F34"/>
  <c r="F32"/>
  <c r="F31"/>
  <c r="F30"/>
  <c r="F29"/>
  <c r="F28"/>
  <c r="F26"/>
  <c r="F25"/>
  <c r="F24"/>
  <c r="F23"/>
  <c r="F22"/>
  <c r="F21"/>
  <c r="F20"/>
  <c r="F19"/>
  <c r="F18"/>
  <c r="F17"/>
  <c r="F16"/>
  <c r="F14"/>
  <c r="F10"/>
  <c r="F9"/>
  <c r="F8"/>
  <c r="F7"/>
  <c r="F6"/>
  <c r="F5"/>
  <c r="F4"/>
  <c r="F3"/>
  <c r="F28" i="7"/>
  <c r="F29"/>
  <c r="F27"/>
  <c r="F26"/>
  <c r="F25"/>
  <c r="F24"/>
  <c r="F22"/>
  <c r="F19"/>
  <c r="F8"/>
  <c r="F7"/>
  <c r="F6"/>
  <c r="F3"/>
  <c r="F12" i="6"/>
  <c r="F11"/>
  <c r="F14" i="1"/>
  <c r="F15"/>
  <c r="F16"/>
  <c r="F17"/>
  <c r="F18"/>
  <c r="F19"/>
  <c r="F20"/>
  <c r="F21"/>
  <c r="F22"/>
  <c r="F23"/>
  <c r="F25"/>
  <c r="F13"/>
  <c r="F29" i="6"/>
  <c r="F28"/>
  <c r="F27"/>
  <c r="F13" i="5"/>
  <c r="F14"/>
  <c r="F12"/>
  <c r="F3"/>
  <c r="F30" i="4"/>
  <c r="F31"/>
  <c r="F32"/>
  <c r="F33"/>
  <c r="F37"/>
  <c r="F38"/>
  <c r="F39"/>
  <c r="F29"/>
  <c r="F15"/>
  <c r="F4" i="1"/>
  <c r="F5"/>
  <c r="F6"/>
  <c r="F7"/>
  <c r="F8"/>
  <c r="F9"/>
  <c r="F10"/>
  <c r="F3"/>
  <c r="F42" i="7" l="1"/>
  <c r="F41"/>
  <c r="F40"/>
  <c r="F39"/>
  <c r="F38"/>
  <c r="F37"/>
  <c r="F36"/>
  <c r="F34"/>
  <c r="F33"/>
  <c r="F32"/>
  <c r="F31"/>
  <c r="F23"/>
  <c r="F21"/>
  <c r="F20"/>
  <c r="F18"/>
  <c r="F17"/>
  <c r="F16"/>
  <c r="F14"/>
  <c r="F13"/>
  <c r="F12"/>
  <c r="F11"/>
  <c r="F10"/>
  <c r="F9"/>
  <c r="F5"/>
  <c r="F4"/>
  <c r="F16" i="6"/>
  <c r="F17"/>
  <c r="F19"/>
  <c r="F20"/>
  <c r="F14"/>
  <c r="F39"/>
  <c r="F38"/>
  <c r="F37"/>
  <c r="F36"/>
  <c r="F35"/>
  <c r="F34"/>
  <c r="F33"/>
  <c r="F32"/>
  <c r="F30"/>
  <c r="F26"/>
  <c r="F24"/>
  <c r="F23"/>
  <c r="F22"/>
  <c r="F15"/>
  <c r="F13"/>
  <c r="F10"/>
  <c r="F9"/>
  <c r="F8"/>
  <c r="F5"/>
  <c r="F4"/>
  <c r="F28" i="5"/>
  <c r="F29"/>
  <c r="F35"/>
  <c r="F37"/>
  <c r="F27"/>
  <c r="F5" l="1"/>
  <c r="F18" i="4"/>
  <c r="F19"/>
  <c r="F20"/>
  <c r="F24"/>
  <c r="F25"/>
  <c r="F26"/>
  <c r="F17"/>
  <c r="F4"/>
  <c r="F5"/>
  <c r="F6"/>
  <c r="F7"/>
  <c r="F8"/>
  <c r="F9"/>
  <c r="F10"/>
  <c r="F11"/>
  <c r="F12"/>
  <c r="F14"/>
  <c r="F3"/>
  <c r="F18" i="5"/>
  <c r="F19"/>
  <c r="F20"/>
  <c r="F21"/>
  <c r="F22"/>
  <c r="F23"/>
  <c r="F24"/>
  <c r="F17"/>
  <c r="F4"/>
</calcChain>
</file>

<file path=xl/sharedStrings.xml><?xml version="1.0" encoding="utf-8"?>
<sst xmlns="http://schemas.openxmlformats.org/spreadsheetml/2006/main" count="493" uniqueCount="322">
  <si>
    <t>날짜</t>
    <phoneticPr fontId="1" type="noConversion"/>
  </si>
  <si>
    <t>월</t>
    <phoneticPr fontId="1" type="noConversion"/>
  </si>
  <si>
    <t>조식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</si>
  <si>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</si>
  <si>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</si>
  <si>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</si>
  <si>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총량</t>
    <phoneticPr fontId="1" type="noConversion"/>
  </si>
  <si>
    <t>비고</t>
    <phoneticPr fontId="1" type="noConversion"/>
  </si>
  <si>
    <t>배추김치</t>
    <phoneticPr fontId="1" type="noConversion"/>
  </si>
  <si>
    <t>대파</t>
    <phoneticPr fontId="1" type="noConversion"/>
  </si>
  <si>
    <t>배추김치</t>
    <phoneticPr fontId="1" type="noConversion"/>
  </si>
  <si>
    <t>중식</t>
    <phoneticPr fontId="1" type="noConversion"/>
  </si>
  <si>
    <t>양파</t>
    <phoneticPr fontId="1" type="noConversion"/>
  </si>
  <si>
    <t>팽이버섯</t>
    <phoneticPr fontId="1" type="noConversion"/>
  </si>
  <si>
    <t>석식</t>
    <phoneticPr fontId="1" type="noConversion"/>
  </si>
  <si>
    <t>화</t>
    <phoneticPr fontId="1" type="noConversion"/>
  </si>
  <si>
    <t>대파적당량</t>
    <phoneticPr fontId="1" type="noConversion"/>
  </si>
  <si>
    <t>1인량</t>
    <phoneticPr fontId="1" type="noConversion"/>
  </si>
  <si>
    <t>두부</t>
    <phoneticPr fontId="1" type="noConversion"/>
  </si>
  <si>
    <t>홍고추</t>
    <phoneticPr fontId="1" type="noConversion"/>
  </si>
  <si>
    <t>맛김치</t>
    <phoneticPr fontId="1" type="noConversion"/>
  </si>
  <si>
    <t>당근</t>
    <phoneticPr fontId="1" type="noConversion"/>
  </si>
  <si>
    <t>달걀</t>
    <phoneticPr fontId="1" type="noConversion"/>
  </si>
  <si>
    <t>콩나물</t>
    <phoneticPr fontId="1" type="noConversion"/>
  </si>
  <si>
    <t>우사태</t>
    <phoneticPr fontId="1" type="noConversion"/>
  </si>
  <si>
    <t>꽈리고추</t>
    <phoneticPr fontId="1" type="noConversion"/>
  </si>
  <si>
    <t>깍두기</t>
    <phoneticPr fontId="1" type="noConversion"/>
  </si>
  <si>
    <t>깍두기</t>
    <phoneticPr fontId="1" type="noConversion"/>
  </si>
  <si>
    <t>보리밥</t>
    <phoneticPr fontId="1" type="noConversion"/>
  </si>
  <si>
    <t>된장찌개</t>
    <phoneticPr fontId="1" type="noConversion"/>
  </si>
  <si>
    <t>호박</t>
    <phoneticPr fontId="1" type="noConversion"/>
  </si>
  <si>
    <t>삼겹살고추장구이</t>
    <phoneticPr fontId="1" type="noConversion"/>
  </si>
  <si>
    <t>삼겹살</t>
    <phoneticPr fontId="1" type="noConversion"/>
  </si>
  <si>
    <t>고추장</t>
    <phoneticPr fontId="1" type="noConversion"/>
  </si>
  <si>
    <t>얼갈이</t>
    <phoneticPr fontId="1" type="noConversion"/>
  </si>
  <si>
    <t>보리</t>
    <phoneticPr fontId="1" type="noConversion"/>
  </si>
  <si>
    <t>석식</t>
    <phoneticPr fontId="1" type="noConversion"/>
  </si>
  <si>
    <t>참치</t>
    <phoneticPr fontId="1" type="noConversion"/>
  </si>
  <si>
    <t>양파</t>
    <phoneticPr fontId="1" type="noConversion"/>
  </si>
  <si>
    <t>대파적당량</t>
    <phoneticPr fontId="1" type="noConversion"/>
  </si>
  <si>
    <t>수</t>
    <phoneticPr fontId="1" type="noConversion"/>
  </si>
  <si>
    <t>조식</t>
    <phoneticPr fontId="1" type="noConversion"/>
  </si>
  <si>
    <t>배추김치</t>
    <phoneticPr fontId="1" type="noConversion"/>
  </si>
  <si>
    <t>무</t>
    <phoneticPr fontId="1" type="noConversion"/>
  </si>
  <si>
    <t>250개</t>
    <phoneticPr fontId="1" type="noConversion"/>
  </si>
  <si>
    <t>중식</t>
    <phoneticPr fontId="1" type="noConversion"/>
  </si>
  <si>
    <t>감자</t>
    <phoneticPr fontId="1" type="noConversion"/>
  </si>
  <si>
    <t>수</t>
    <phoneticPr fontId="1" type="noConversion"/>
  </si>
  <si>
    <t>매콤유부국</t>
    <phoneticPr fontId="1" type="noConversion"/>
  </si>
  <si>
    <t>유부</t>
    <phoneticPr fontId="1" type="noConversion"/>
  </si>
  <si>
    <t>무</t>
    <phoneticPr fontId="1" type="noConversion"/>
  </si>
  <si>
    <t>대파</t>
    <phoneticPr fontId="1" type="noConversion"/>
  </si>
  <si>
    <t>식용유</t>
    <phoneticPr fontId="1" type="noConversion"/>
  </si>
  <si>
    <t>양상추</t>
    <phoneticPr fontId="1" type="noConversion"/>
  </si>
  <si>
    <t>사과</t>
    <phoneticPr fontId="1" type="noConversion"/>
  </si>
  <si>
    <t>방울토마토</t>
    <phoneticPr fontId="1" type="noConversion"/>
  </si>
  <si>
    <t>바나나</t>
    <phoneticPr fontId="1" type="noConversion"/>
  </si>
  <si>
    <t>배추김치</t>
    <phoneticPr fontId="1" type="noConversion"/>
  </si>
  <si>
    <t>배추김치</t>
    <phoneticPr fontId="1" type="noConversion"/>
  </si>
  <si>
    <t>500개</t>
    <phoneticPr fontId="1" type="noConversion"/>
  </si>
  <si>
    <t>목</t>
    <phoneticPr fontId="1" type="noConversion"/>
  </si>
  <si>
    <t>들깨무채국</t>
    <phoneticPr fontId="1" type="noConversion"/>
  </si>
  <si>
    <t>들깨</t>
    <phoneticPr fontId="1" type="noConversion"/>
  </si>
  <si>
    <t>달걀</t>
    <phoneticPr fontId="1" type="noConversion"/>
  </si>
  <si>
    <t>배추김치</t>
    <phoneticPr fontId="1" type="noConversion"/>
  </si>
  <si>
    <t>2판</t>
    <phoneticPr fontId="1" type="noConversion"/>
  </si>
  <si>
    <t>당근</t>
    <phoneticPr fontId="1" type="noConversion"/>
  </si>
  <si>
    <t>애호박새우젓볶음</t>
    <phoneticPr fontId="1" type="noConversion"/>
  </si>
  <si>
    <t>애호박</t>
    <phoneticPr fontId="1" type="noConversion"/>
  </si>
  <si>
    <t>양파,대파적당량</t>
    <phoneticPr fontId="1" type="noConversion"/>
  </si>
  <si>
    <t>1인량</t>
    <phoneticPr fontId="1" type="noConversion"/>
  </si>
  <si>
    <t>근대된장국</t>
    <phoneticPr fontId="1" type="noConversion"/>
  </si>
  <si>
    <t>근대</t>
    <phoneticPr fontId="1" type="noConversion"/>
  </si>
  <si>
    <t>두부조림</t>
    <phoneticPr fontId="1" type="noConversion"/>
  </si>
  <si>
    <t>두부</t>
    <phoneticPr fontId="1" type="noConversion"/>
  </si>
  <si>
    <t>대파적당량</t>
    <phoneticPr fontId="1" type="noConversion"/>
  </si>
  <si>
    <t>등뼈감자탕</t>
    <phoneticPr fontId="1" type="noConversion"/>
  </si>
  <si>
    <t>돈등뼈</t>
    <phoneticPr fontId="1" type="noConversion"/>
  </si>
  <si>
    <t>감자</t>
    <phoneticPr fontId="1" type="noConversion"/>
  </si>
  <si>
    <t>깻잎순</t>
    <phoneticPr fontId="1" type="noConversion"/>
  </si>
  <si>
    <t>들깨가루</t>
    <phoneticPr fontId="1" type="noConversion"/>
  </si>
  <si>
    <t>대파적당량</t>
    <phoneticPr fontId="1" type="noConversion"/>
  </si>
  <si>
    <t>(대접)</t>
    <phoneticPr fontId="1" type="noConversion"/>
  </si>
  <si>
    <t>수수밥</t>
    <phoneticPr fontId="1" type="noConversion"/>
  </si>
  <si>
    <t>수수</t>
    <phoneticPr fontId="1" type="noConversion"/>
  </si>
  <si>
    <t>고추장국</t>
    <phoneticPr fontId="1" type="noConversion"/>
  </si>
  <si>
    <t>쇠고기우둔</t>
    <phoneticPr fontId="1" type="noConversion"/>
  </si>
  <si>
    <t>호박/감자 각</t>
    <phoneticPr fontId="1" type="noConversion"/>
  </si>
  <si>
    <t>돈육김치찜</t>
    <phoneticPr fontId="1" type="noConversion"/>
  </si>
  <si>
    <t>돈육</t>
    <phoneticPr fontId="1" type="noConversion"/>
  </si>
  <si>
    <t>미역</t>
    <phoneticPr fontId="1" type="noConversion"/>
  </si>
  <si>
    <t>치커리</t>
    <phoneticPr fontId="1" type="noConversion"/>
  </si>
  <si>
    <t>야채고기말이</t>
    <phoneticPr fontId="1" type="noConversion"/>
  </si>
  <si>
    <t>양파</t>
    <phoneticPr fontId="1" type="noConversion"/>
  </si>
  <si>
    <t>홍고추</t>
    <phoneticPr fontId="1" type="noConversion"/>
  </si>
  <si>
    <t>새우젓</t>
    <phoneticPr fontId="1" type="noConversion"/>
  </si>
  <si>
    <t>기장밥</t>
    <phoneticPr fontId="1" type="noConversion"/>
  </si>
  <si>
    <t>기장</t>
    <phoneticPr fontId="1" type="noConversion"/>
  </si>
  <si>
    <t>깍두기</t>
    <phoneticPr fontId="1" type="noConversion"/>
  </si>
  <si>
    <t>돈까스소스</t>
    <phoneticPr fontId="1" type="noConversion"/>
  </si>
  <si>
    <t>돈가스소스</t>
    <phoneticPr fontId="1" type="noConversion"/>
  </si>
  <si>
    <t>양송이슬라이스캔</t>
    <phoneticPr fontId="1" type="noConversion"/>
  </si>
  <si>
    <t>당근</t>
    <phoneticPr fontId="1" type="noConversion"/>
  </si>
  <si>
    <t>양파</t>
    <phoneticPr fontId="1" type="noConversion"/>
  </si>
  <si>
    <t>흑미밥</t>
    <phoneticPr fontId="1" type="noConversion"/>
  </si>
  <si>
    <t>흑미</t>
    <phoneticPr fontId="1" type="noConversion"/>
  </si>
  <si>
    <t>조랭이떡국</t>
    <phoneticPr fontId="1" type="noConversion"/>
  </si>
  <si>
    <t>조랭이떡</t>
    <phoneticPr fontId="1" type="noConversion"/>
  </si>
  <si>
    <t>우국거리</t>
    <phoneticPr fontId="1" type="noConversion"/>
  </si>
  <si>
    <t>달걀</t>
    <phoneticPr fontId="1" type="noConversion"/>
  </si>
  <si>
    <t>대파</t>
    <phoneticPr fontId="1" type="noConversion"/>
  </si>
  <si>
    <t>오리주물럭</t>
    <phoneticPr fontId="1" type="noConversion"/>
  </si>
  <si>
    <t>훈제오리</t>
    <phoneticPr fontId="1" type="noConversion"/>
  </si>
  <si>
    <t>양배추</t>
    <phoneticPr fontId="1" type="noConversion"/>
  </si>
  <si>
    <t>양파</t>
    <phoneticPr fontId="1" type="noConversion"/>
  </si>
  <si>
    <t>더덕부추무침</t>
    <phoneticPr fontId="1" type="noConversion"/>
  </si>
  <si>
    <t>더덕</t>
    <phoneticPr fontId="1" type="noConversion"/>
  </si>
  <si>
    <t>부추</t>
    <phoneticPr fontId="1" type="noConversion"/>
  </si>
  <si>
    <t>금</t>
    <phoneticPr fontId="1" type="noConversion"/>
  </si>
  <si>
    <t>배추된장국</t>
    <phoneticPr fontId="1" type="noConversion"/>
  </si>
  <si>
    <t>통배추</t>
    <phoneticPr fontId="1" type="noConversion"/>
  </si>
  <si>
    <t>대파</t>
    <phoneticPr fontId="1" type="noConversion"/>
  </si>
  <si>
    <t>주꾸미야채무침</t>
    <phoneticPr fontId="1" type="noConversion"/>
  </si>
  <si>
    <t>홍고추,대파적당량</t>
    <phoneticPr fontId="1" type="noConversion"/>
  </si>
  <si>
    <t>탕평채</t>
    <phoneticPr fontId="1" type="noConversion"/>
  </si>
  <si>
    <t>동부묵채</t>
    <phoneticPr fontId="1" type="noConversion"/>
  </si>
  <si>
    <t>우육채</t>
    <phoneticPr fontId="1" type="noConversion"/>
  </si>
  <si>
    <t>숙주</t>
    <phoneticPr fontId="1" type="noConversion"/>
  </si>
  <si>
    <t>미나리</t>
    <phoneticPr fontId="1" type="noConversion"/>
  </si>
  <si>
    <t>열무김치</t>
    <phoneticPr fontId="1" type="noConversion"/>
  </si>
  <si>
    <t>비빔밥/약고추장</t>
    <phoneticPr fontId="1" type="noConversion"/>
  </si>
  <si>
    <t>(대접)</t>
    <phoneticPr fontId="1" type="noConversion"/>
  </si>
  <si>
    <t>김가루</t>
    <phoneticPr fontId="1" type="noConversion"/>
  </si>
  <si>
    <t>시금치</t>
    <phoneticPr fontId="1" type="noConversion"/>
  </si>
  <si>
    <t>당근</t>
    <phoneticPr fontId="1" type="noConversion"/>
  </si>
  <si>
    <t>콩나물</t>
    <phoneticPr fontId="1" type="noConversion"/>
  </si>
  <si>
    <t>도라지</t>
    <phoneticPr fontId="1" type="noConversion"/>
  </si>
  <si>
    <t>우육민찌</t>
    <phoneticPr fontId="1" type="noConversion"/>
  </si>
  <si>
    <t>달걀후라이</t>
    <phoneticPr fontId="1" type="noConversion"/>
  </si>
  <si>
    <t>약고추장</t>
    <phoneticPr fontId="1" type="noConversion"/>
  </si>
  <si>
    <t>팽이미소국</t>
    <phoneticPr fontId="1" type="noConversion"/>
  </si>
  <si>
    <t>팽이버섯</t>
    <phoneticPr fontId="1" type="noConversion"/>
  </si>
  <si>
    <t>코코넛새우튀김</t>
    <phoneticPr fontId="1" type="noConversion"/>
  </si>
  <si>
    <t>코코넛새우</t>
    <phoneticPr fontId="1" type="noConversion"/>
  </si>
  <si>
    <t>식용유</t>
    <phoneticPr fontId="1" type="noConversion"/>
  </si>
  <si>
    <t>칠리소스</t>
    <phoneticPr fontId="1" type="noConversion"/>
  </si>
  <si>
    <t>양파적당량</t>
    <phoneticPr fontId="1" type="noConversion"/>
  </si>
  <si>
    <t>고사리</t>
    <phoneticPr fontId="1" type="noConversion"/>
  </si>
  <si>
    <t>토</t>
    <phoneticPr fontId="1" type="noConversion"/>
  </si>
  <si>
    <t>홍합탕</t>
    <phoneticPr fontId="1" type="noConversion"/>
  </si>
  <si>
    <t>무</t>
    <phoneticPr fontId="1" type="noConversion"/>
  </si>
  <si>
    <t>홍고추</t>
    <phoneticPr fontId="1" type="noConversion"/>
  </si>
  <si>
    <t>옛날소세지전/케첩</t>
    <phoneticPr fontId="1" type="noConversion"/>
  </si>
  <si>
    <t>소시지</t>
    <phoneticPr fontId="1" type="noConversion"/>
  </si>
  <si>
    <t>계란</t>
    <phoneticPr fontId="1" type="noConversion"/>
  </si>
  <si>
    <t>어묵볶음</t>
    <phoneticPr fontId="1" type="noConversion"/>
  </si>
  <si>
    <t>볼어묵</t>
    <phoneticPr fontId="1" type="noConversion"/>
  </si>
  <si>
    <t>양파</t>
    <phoneticPr fontId="1" type="noConversion"/>
  </si>
  <si>
    <t>홍합살</t>
    <phoneticPr fontId="1" type="noConversion"/>
  </si>
  <si>
    <t>기장밥</t>
    <phoneticPr fontId="1" type="noConversion"/>
  </si>
  <si>
    <t>기장</t>
    <phoneticPr fontId="1" type="noConversion"/>
  </si>
  <si>
    <t>사골우거지국</t>
    <phoneticPr fontId="1" type="noConversion"/>
  </si>
  <si>
    <t>모듬장조림</t>
    <phoneticPr fontId="1" type="noConversion"/>
  </si>
  <si>
    <t>새송이버섯볶음</t>
    <phoneticPr fontId="1" type="noConversion"/>
  </si>
  <si>
    <t>사골액기스</t>
    <phoneticPr fontId="1" type="noConversion"/>
  </si>
  <si>
    <t>우국거리</t>
    <phoneticPr fontId="1" type="noConversion"/>
  </si>
  <si>
    <t>대파</t>
    <phoneticPr fontId="1" type="noConversion"/>
  </si>
  <si>
    <t>돈육장조림</t>
    <phoneticPr fontId="1" type="noConversion"/>
  </si>
  <si>
    <t>메추리알</t>
    <phoneticPr fontId="1" type="noConversion"/>
  </si>
  <si>
    <t>곤약</t>
    <phoneticPr fontId="1" type="noConversion"/>
  </si>
  <si>
    <t>새송이버섯</t>
    <phoneticPr fontId="1" type="noConversion"/>
  </si>
  <si>
    <t>깍두기</t>
    <phoneticPr fontId="1" type="noConversion"/>
  </si>
  <si>
    <t>토</t>
    <phoneticPr fontId="1" type="noConversion"/>
  </si>
  <si>
    <t>자장덮밥</t>
    <phoneticPr fontId="1" type="noConversion"/>
  </si>
  <si>
    <t>달걀국</t>
    <phoneticPr fontId="1" type="noConversion"/>
  </si>
  <si>
    <t>식용유</t>
    <phoneticPr fontId="1" type="noConversion"/>
  </si>
  <si>
    <t>단무지무침</t>
    <phoneticPr fontId="1" type="noConversion"/>
  </si>
  <si>
    <t>자장가루</t>
    <phoneticPr fontId="1" type="noConversion"/>
  </si>
  <si>
    <t>돈육자장용</t>
    <phoneticPr fontId="1" type="noConversion"/>
  </si>
  <si>
    <t>감자</t>
    <phoneticPr fontId="1" type="noConversion"/>
  </si>
  <si>
    <t>양배추</t>
    <phoneticPr fontId="1" type="noConversion"/>
  </si>
  <si>
    <t>양파</t>
    <phoneticPr fontId="1" type="noConversion"/>
  </si>
  <si>
    <t>호박</t>
    <phoneticPr fontId="1" type="noConversion"/>
  </si>
  <si>
    <t>달걀국</t>
    <phoneticPr fontId="1" type="noConversion"/>
  </si>
  <si>
    <t>일</t>
    <phoneticPr fontId="1" type="noConversion"/>
  </si>
  <si>
    <t>우유</t>
    <phoneticPr fontId="1" type="noConversion"/>
  </si>
  <si>
    <t>우유</t>
    <phoneticPr fontId="1" type="noConversion"/>
  </si>
  <si>
    <t>콘후레이크</t>
    <phoneticPr fontId="1" type="noConversion"/>
  </si>
  <si>
    <t>콘후레이크</t>
    <phoneticPr fontId="1" type="noConversion"/>
  </si>
  <si>
    <t>훈제오리샐러드</t>
    <phoneticPr fontId="1" type="noConversion"/>
  </si>
  <si>
    <t>훈제오리</t>
    <phoneticPr fontId="1" type="noConversion"/>
  </si>
  <si>
    <t>양상추</t>
    <phoneticPr fontId="1" type="noConversion"/>
  </si>
  <si>
    <t>방울토마토</t>
    <phoneticPr fontId="1" type="noConversion"/>
  </si>
  <si>
    <t>머스터드소스</t>
    <phoneticPr fontId="1" type="noConversion"/>
  </si>
  <si>
    <t>바나나</t>
    <phoneticPr fontId="1" type="noConversion"/>
  </si>
  <si>
    <t>바나나</t>
    <phoneticPr fontId="1" type="noConversion"/>
  </si>
  <si>
    <t>230개</t>
    <phoneticPr fontId="1" type="noConversion"/>
  </si>
  <si>
    <t>2박스</t>
    <phoneticPr fontId="1" type="noConversion"/>
  </si>
  <si>
    <t>흑미밥</t>
    <phoneticPr fontId="1" type="noConversion"/>
  </si>
  <si>
    <t>흑미</t>
    <phoneticPr fontId="1" type="noConversion"/>
  </si>
  <si>
    <t>대파</t>
    <phoneticPr fontId="1" type="noConversion"/>
  </si>
  <si>
    <t>꽁치구이</t>
    <phoneticPr fontId="1" type="noConversion"/>
  </si>
  <si>
    <t>꽁치</t>
    <phoneticPr fontId="1" type="noConversion"/>
  </si>
  <si>
    <t>와사비간장</t>
    <phoneticPr fontId="1" type="noConversion"/>
  </si>
  <si>
    <t>순대볶음</t>
    <phoneticPr fontId="1" type="noConversion"/>
  </si>
  <si>
    <t>당근</t>
    <phoneticPr fontId="1" type="noConversion"/>
  </si>
  <si>
    <t>들깨가루</t>
    <phoneticPr fontId="1" type="noConversion"/>
  </si>
  <si>
    <t>제육덮밥</t>
    <phoneticPr fontId="1" type="noConversion"/>
  </si>
  <si>
    <t>(대접)</t>
    <phoneticPr fontId="1" type="noConversion"/>
  </si>
  <si>
    <t>돈육불고기</t>
    <phoneticPr fontId="1" type="noConversion"/>
  </si>
  <si>
    <t>김가루</t>
    <phoneticPr fontId="1" type="noConversion"/>
  </si>
  <si>
    <t>얼갈이국</t>
    <phoneticPr fontId="1" type="noConversion"/>
  </si>
  <si>
    <t>얼갈이</t>
    <phoneticPr fontId="1" type="noConversion"/>
  </si>
  <si>
    <t>요구르트</t>
    <phoneticPr fontId="1" type="noConversion"/>
  </si>
  <si>
    <t>배추김치</t>
    <phoneticPr fontId="1" type="noConversion"/>
  </si>
  <si>
    <t>주꾸미채</t>
    <phoneticPr fontId="1" type="noConversion"/>
  </si>
  <si>
    <t>깻잎/오이 각</t>
    <phoneticPr fontId="1" type="noConversion"/>
  </si>
  <si>
    <t>토</t>
    <phoneticPr fontId="1" type="noConversion"/>
  </si>
  <si>
    <t>빨강파프리카</t>
    <phoneticPr fontId="1" type="noConversion"/>
  </si>
  <si>
    <t>양파</t>
    <phoneticPr fontId="1" type="noConversion"/>
  </si>
  <si>
    <t>우거지(얼갈이)</t>
    <phoneticPr fontId="1" type="noConversion"/>
  </si>
  <si>
    <t>400개</t>
    <phoneticPr fontId="1" type="noConversion"/>
  </si>
  <si>
    <t>10/1(수) 발주서</t>
    <phoneticPr fontId="1" type="noConversion"/>
  </si>
  <si>
    <t>10/2(목) 발주서</t>
    <phoneticPr fontId="1" type="noConversion"/>
  </si>
  <si>
    <t>10/3(금) 발주서</t>
    <phoneticPr fontId="1" type="noConversion"/>
  </si>
  <si>
    <t>10/4(토) 발주서</t>
    <phoneticPr fontId="1" type="noConversion"/>
  </si>
  <si>
    <t>두유</t>
    <phoneticPr fontId="1" type="noConversion"/>
  </si>
  <si>
    <t>보리밥</t>
    <phoneticPr fontId="1" type="noConversion"/>
  </si>
  <si>
    <t>서리태밥</t>
    <phoneticPr fontId="1" type="noConversion"/>
  </si>
  <si>
    <t>서리태</t>
    <phoneticPr fontId="1" type="noConversion"/>
  </si>
  <si>
    <t>배추김치</t>
    <phoneticPr fontId="1" type="noConversion"/>
  </si>
  <si>
    <t>쪽파</t>
    <phoneticPr fontId="1" type="noConversion"/>
  </si>
  <si>
    <t>떠먹는요구르트</t>
    <phoneticPr fontId="1" type="noConversion"/>
  </si>
  <si>
    <t>대파적당량</t>
    <phoneticPr fontId="1" type="noConversion"/>
  </si>
  <si>
    <t>과일후르츠샐러드</t>
    <phoneticPr fontId="1" type="noConversion"/>
  </si>
  <si>
    <t>육개장</t>
    <phoneticPr fontId="1" type="noConversion"/>
  </si>
  <si>
    <t>우둔국거리</t>
    <phoneticPr fontId="1" type="noConversion"/>
  </si>
  <si>
    <t>달걀</t>
    <phoneticPr fontId="1" type="noConversion"/>
  </si>
  <si>
    <t>숙주/무 각</t>
    <phoneticPr fontId="1" type="noConversion"/>
  </si>
  <si>
    <t>갈치구이</t>
    <phoneticPr fontId="1" type="noConversion"/>
  </si>
  <si>
    <t>갈치</t>
    <phoneticPr fontId="1" type="noConversion"/>
  </si>
  <si>
    <t>꽈리고추무침</t>
    <phoneticPr fontId="1" type="noConversion"/>
  </si>
  <si>
    <t>고사리</t>
    <phoneticPr fontId="1" type="noConversion"/>
  </si>
  <si>
    <t>미역초무침</t>
    <phoneticPr fontId="1" type="noConversion"/>
  </si>
  <si>
    <t>무</t>
    <phoneticPr fontId="1" type="noConversion"/>
  </si>
  <si>
    <t>오이</t>
    <phoneticPr fontId="1" type="noConversion"/>
  </si>
  <si>
    <t>군만두/양념간장</t>
    <phoneticPr fontId="1" type="noConversion"/>
  </si>
  <si>
    <t>군만두</t>
    <phoneticPr fontId="1" type="noConversion"/>
  </si>
  <si>
    <t>과수원</t>
    <phoneticPr fontId="1" type="noConversion"/>
  </si>
  <si>
    <t>레즌롤빵</t>
    <phoneticPr fontId="1" type="noConversion"/>
  </si>
  <si>
    <t>우사골액기스</t>
    <phoneticPr fontId="1" type="noConversion"/>
  </si>
  <si>
    <t>소면</t>
    <phoneticPr fontId="1" type="noConversion"/>
  </si>
  <si>
    <t>방울순대</t>
    <phoneticPr fontId="1" type="noConversion"/>
  </si>
  <si>
    <t>설렁탕/양념다데기</t>
    <phoneticPr fontId="1" type="noConversion"/>
  </si>
  <si>
    <t>치즈볼</t>
    <phoneticPr fontId="1" type="noConversion"/>
  </si>
  <si>
    <t>고구마치즈롤까스/소스</t>
    <phoneticPr fontId="1" type="noConversion"/>
  </si>
  <si>
    <t>쑥갓</t>
    <phoneticPr fontId="1" type="noConversion"/>
  </si>
  <si>
    <t>백설롤까스</t>
    <phoneticPr fontId="1" type="noConversion"/>
  </si>
  <si>
    <t>후르츠칵테일</t>
    <phoneticPr fontId="1" type="noConversion"/>
  </si>
  <si>
    <t>1박스</t>
    <phoneticPr fontId="1" type="noConversion"/>
  </si>
  <si>
    <t>파인애플슬라이스</t>
    <phoneticPr fontId="1" type="noConversion"/>
  </si>
  <si>
    <t>이츠웰상큼팡팡파인소스</t>
    <phoneticPr fontId="1" type="noConversion"/>
  </si>
  <si>
    <t>12/21(일) 발주서</t>
    <phoneticPr fontId="1" type="noConversion"/>
  </si>
  <si>
    <t>12/22(월) 발주서</t>
    <phoneticPr fontId="1" type="noConversion"/>
  </si>
  <si>
    <t>120개</t>
    <phoneticPr fontId="1" type="noConversion"/>
  </si>
  <si>
    <t>포크소세지/케첩</t>
    <phoneticPr fontId="1" type="noConversion"/>
  </si>
  <si>
    <t>어묵국</t>
    <phoneticPr fontId="1" type="noConversion"/>
  </si>
  <si>
    <t>어묵</t>
    <phoneticPr fontId="1" type="noConversion"/>
  </si>
  <si>
    <t>건새우아욱국</t>
    <phoneticPr fontId="1" type="noConversion"/>
  </si>
  <si>
    <t>건새우</t>
    <phoneticPr fontId="1" type="noConversion"/>
  </si>
  <si>
    <t>아욱</t>
    <phoneticPr fontId="1" type="noConversion"/>
  </si>
  <si>
    <t>감자</t>
    <phoneticPr fontId="1" type="noConversion"/>
  </si>
  <si>
    <t>양파</t>
    <phoneticPr fontId="1" type="noConversion"/>
  </si>
  <si>
    <t>콩나물무침</t>
    <phoneticPr fontId="1" type="noConversion"/>
  </si>
  <si>
    <t>12/23(화) 발주서</t>
    <phoneticPr fontId="1" type="noConversion"/>
  </si>
  <si>
    <t>팽이미소국</t>
    <phoneticPr fontId="1" type="noConversion"/>
  </si>
  <si>
    <t>시금치나물</t>
    <phoneticPr fontId="1" type="noConversion"/>
  </si>
  <si>
    <t>100개</t>
    <phoneticPr fontId="1" type="noConversion"/>
  </si>
  <si>
    <t>쇠고기무국</t>
    <phoneticPr fontId="1" type="noConversion"/>
  </si>
  <si>
    <t>양지</t>
    <phoneticPr fontId="1" type="noConversion"/>
  </si>
  <si>
    <t>쥐어포채볶음</t>
    <phoneticPr fontId="1" type="noConversion"/>
  </si>
  <si>
    <t>쥐어포채</t>
    <phoneticPr fontId="1" type="noConversion"/>
  </si>
  <si>
    <t>120개</t>
    <phoneticPr fontId="1" type="noConversion"/>
  </si>
  <si>
    <t>양파</t>
    <phoneticPr fontId="1" type="noConversion"/>
  </si>
  <si>
    <t>팽이버섯</t>
    <phoneticPr fontId="1" type="noConversion"/>
  </si>
  <si>
    <t>깨찰호떡</t>
    <phoneticPr fontId="1" type="noConversion"/>
  </si>
  <si>
    <t>1인당 2개씩</t>
    <phoneticPr fontId="1" type="noConversion"/>
  </si>
  <si>
    <t>꽁치구이/와사비</t>
    <phoneticPr fontId="1" type="noConversion"/>
  </si>
  <si>
    <t>꽁치</t>
    <phoneticPr fontId="1" type="noConversion"/>
  </si>
  <si>
    <t>재고사용</t>
    <phoneticPr fontId="1" type="noConversion"/>
  </si>
  <si>
    <t>3판</t>
    <phoneticPr fontId="1" type="noConversion"/>
  </si>
  <si>
    <t>재고 5kg 포함</t>
    <phoneticPr fontId="1" type="noConversion"/>
  </si>
  <si>
    <t>돈육모듬강정</t>
    <phoneticPr fontId="1" type="noConversion"/>
  </si>
  <si>
    <t>실속탕수육</t>
    <phoneticPr fontId="1" type="noConversion"/>
  </si>
  <si>
    <t>깐쇼새우</t>
    <phoneticPr fontId="1" type="noConversion"/>
  </si>
  <si>
    <t>오징어볼</t>
    <phoneticPr fontId="1" type="noConversion"/>
  </si>
  <si>
    <t>깐땅콩</t>
    <phoneticPr fontId="1" type="noConversion"/>
  </si>
  <si>
    <t>치킨양념소스</t>
    <phoneticPr fontId="1" type="noConversion"/>
  </si>
  <si>
    <t>쇠고기불고기</t>
    <phoneticPr fontId="1" type="noConversion"/>
  </si>
  <si>
    <t>우둔</t>
    <phoneticPr fontId="1" type="noConversion"/>
  </si>
  <si>
    <t>당근</t>
    <phoneticPr fontId="1" type="noConversion"/>
  </si>
  <si>
    <t>팽이버섯</t>
    <phoneticPr fontId="1" type="noConversion"/>
  </si>
  <si>
    <t>갈치조림</t>
    <phoneticPr fontId="1" type="noConversion"/>
  </si>
  <si>
    <t>화</t>
    <phoneticPr fontId="1" type="noConversion"/>
  </si>
  <si>
    <t>석식</t>
    <phoneticPr fontId="1" type="noConversion"/>
  </si>
  <si>
    <t>오징어초무침</t>
    <phoneticPr fontId="1" type="noConversion"/>
  </si>
  <si>
    <t>오징어</t>
    <phoneticPr fontId="1" type="noConversion"/>
  </si>
  <si>
    <t>미나리</t>
    <phoneticPr fontId="1" type="noConversion"/>
  </si>
  <si>
    <t>적채</t>
    <phoneticPr fontId="1" type="noConversion"/>
  </si>
  <si>
    <t>양파</t>
    <phoneticPr fontId="1" type="noConversion"/>
  </si>
  <si>
    <t>차조밥</t>
    <phoneticPr fontId="1" type="noConversion"/>
  </si>
  <si>
    <t>차조</t>
    <phoneticPr fontId="1" type="noConversion"/>
  </si>
  <si>
    <t>수</t>
    <phoneticPr fontId="1" type="noConversion"/>
  </si>
  <si>
    <t>중식</t>
    <phoneticPr fontId="1" type="noConversion"/>
  </si>
  <si>
    <t>참치찌개</t>
    <phoneticPr fontId="1" type="noConversion"/>
  </si>
  <si>
    <t>명태찜</t>
    <phoneticPr fontId="1" type="noConversion"/>
  </si>
  <si>
    <t>명태</t>
    <phoneticPr fontId="1" type="noConversion"/>
  </si>
  <si>
    <t>감자</t>
    <phoneticPr fontId="1" type="noConversion"/>
  </si>
  <si>
    <t>감자볶음</t>
    <phoneticPr fontId="1" type="noConversion"/>
  </si>
  <si>
    <t>동그랑땡전</t>
    <phoneticPr fontId="1" type="noConversion"/>
  </si>
  <si>
    <t>동그랑땡</t>
    <phoneticPr fontId="1" type="noConversion"/>
  </si>
  <si>
    <t>김자반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</si>
</sst>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kg&quot;"/>
    <numFmt numFmtId="178" formatCode="General\ &quot;g&quot;"/>
  </numFmts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/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7" fontId="0" fillId="0" borderId="1" xfId="0" applyNumberFormat="1" applyBorder="1"/>
    <xf numFmtId="17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78" fontId="0" fillId="2" borderId="1" xfId="0" applyNumberFormat="1" applyFill="1" applyBorder="1"/>
    <xf numFmtId="178" fontId="0" fillId="0" borderId="1" xfId="0" applyNumberFormat="1" applyBorder="1" applyAlignment="1">
      <alignment horizontal="right"/>
    </xf>
    <xf numFmtId="178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J42" sqref="J42"/>
    </sheetView>
  </sheetViews>
  <sheetFormatPr defaultRowHeight="16.5"/>
  <cols>
    <col min="1" max="2" width="6.25" customWidth="1"/>
    <col min="3" max="3" width="15.625" customWidth="1"/>
    <col min="4" max="4" width="12.625" customWidth="1"/>
    <col min="5" max="5" width="8.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1" t="s">
        <v>262</v>
      </c>
      <c r="B1" s="31"/>
      <c r="C1" s="31"/>
      <c r="D1" s="31"/>
      <c r="E1" s="31"/>
      <c r="F1" s="31"/>
      <c r="G1" s="31"/>
      <c r="H1" s="31"/>
      <c r="I1" s="31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9" t="s">
        <v>70</v>
      </c>
      <c r="F2" s="4" t="s">
        <v>6</v>
      </c>
      <c r="G2" s="4" t="s">
        <v>7</v>
      </c>
      <c r="H2" s="4"/>
      <c r="I2" s="4"/>
    </row>
    <row r="3" spans="1:9">
      <c r="A3" s="3">
        <v>41994</v>
      </c>
      <c r="B3" s="4">
        <v>100</v>
      </c>
      <c r="C3" s="9" t="s">
        <v>71</v>
      </c>
      <c r="D3" s="9" t="s">
        <v>72</v>
      </c>
      <c r="E3" s="12">
        <v>30</v>
      </c>
      <c r="F3" s="5">
        <f>(B3*E3)/1000</f>
        <v>3</v>
      </c>
      <c r="G3" s="1"/>
      <c r="H3" s="1"/>
      <c r="I3" s="1"/>
    </row>
    <row r="4" spans="1:9">
      <c r="A4" s="4" t="s">
        <v>1</v>
      </c>
      <c r="B4" s="27">
        <v>100</v>
      </c>
      <c r="C4" s="4"/>
      <c r="D4" s="9" t="s">
        <v>12</v>
      </c>
      <c r="E4" s="12">
        <v>10</v>
      </c>
      <c r="F4" s="5">
        <f t="shared" ref="F4:F10" si="0">(B4*E4)/1000</f>
        <v>1</v>
      </c>
      <c r="G4" s="1"/>
      <c r="H4" s="1"/>
      <c r="I4" s="1"/>
    </row>
    <row r="5" spans="1:9">
      <c r="A5" s="4" t="s">
        <v>2</v>
      </c>
      <c r="B5" s="27">
        <v>100</v>
      </c>
      <c r="C5" s="4"/>
      <c r="D5" s="4" t="s">
        <v>9</v>
      </c>
      <c r="E5" s="12">
        <v>2</v>
      </c>
      <c r="F5" s="5">
        <f t="shared" si="0"/>
        <v>0.2</v>
      </c>
      <c r="G5" s="1"/>
      <c r="H5" s="1"/>
      <c r="I5" s="1"/>
    </row>
    <row r="6" spans="1:9">
      <c r="A6" s="1"/>
      <c r="B6" s="27">
        <v>100</v>
      </c>
      <c r="C6" s="30" t="s">
        <v>287</v>
      </c>
      <c r="D6" s="30" t="s">
        <v>288</v>
      </c>
      <c r="E6" s="12">
        <v>100</v>
      </c>
      <c r="F6" s="5">
        <f t="shared" si="0"/>
        <v>10</v>
      </c>
      <c r="G6" s="1" t="s">
        <v>289</v>
      </c>
      <c r="H6" s="1"/>
      <c r="I6" s="1"/>
    </row>
    <row r="7" spans="1:9">
      <c r="A7" s="1"/>
      <c r="B7" s="27">
        <v>100</v>
      </c>
      <c r="C7" s="9" t="s">
        <v>73</v>
      </c>
      <c r="D7" s="9" t="s">
        <v>74</v>
      </c>
      <c r="E7" s="12">
        <v>100</v>
      </c>
      <c r="F7" s="5">
        <f t="shared" si="0"/>
        <v>10</v>
      </c>
      <c r="G7" s="1" t="s">
        <v>290</v>
      </c>
      <c r="H7" s="1"/>
      <c r="I7" s="1"/>
    </row>
    <row r="8" spans="1:9">
      <c r="A8" s="1"/>
      <c r="B8" s="27">
        <v>100</v>
      </c>
      <c r="C8" s="4"/>
      <c r="D8" s="9" t="s">
        <v>43</v>
      </c>
      <c r="E8" s="12">
        <v>20</v>
      </c>
      <c r="F8" s="5">
        <f t="shared" si="0"/>
        <v>2</v>
      </c>
      <c r="G8" s="1"/>
      <c r="H8" s="1"/>
      <c r="I8" s="1"/>
    </row>
    <row r="9" spans="1:9">
      <c r="A9" s="1"/>
      <c r="B9" s="27">
        <v>100</v>
      </c>
      <c r="C9" s="4"/>
      <c r="D9" s="9" t="s">
        <v>12</v>
      </c>
      <c r="E9" s="12">
        <v>10</v>
      </c>
      <c r="F9" s="5">
        <f t="shared" si="0"/>
        <v>1</v>
      </c>
      <c r="G9" s="1" t="s">
        <v>75</v>
      </c>
      <c r="H9" s="1"/>
      <c r="I9" s="1"/>
    </row>
    <row r="10" spans="1:9">
      <c r="A10" s="1"/>
      <c r="B10" s="27">
        <v>100</v>
      </c>
      <c r="C10" s="4" t="s">
        <v>8</v>
      </c>
      <c r="D10" s="4" t="s">
        <v>10</v>
      </c>
      <c r="E10" s="12">
        <v>40</v>
      </c>
      <c r="F10" s="5">
        <f t="shared" si="0"/>
        <v>4</v>
      </c>
      <c r="G10" s="1"/>
      <c r="H10" s="1"/>
      <c r="I10" s="1"/>
    </row>
    <row r="11" spans="1:9">
      <c r="A11" s="1"/>
      <c r="B11" s="27">
        <v>100</v>
      </c>
      <c r="C11" s="23" t="s">
        <v>226</v>
      </c>
      <c r="D11" s="23" t="s">
        <v>226</v>
      </c>
      <c r="E11" s="12">
        <v>100</v>
      </c>
      <c r="F11" s="6" t="s">
        <v>264</v>
      </c>
      <c r="G11" s="1"/>
      <c r="H11" s="1"/>
      <c r="I11" s="1"/>
    </row>
    <row r="12" spans="1:9">
      <c r="A12" s="2"/>
      <c r="B12" s="2"/>
      <c r="C12" s="2"/>
      <c r="D12" s="2"/>
      <c r="E12" s="13"/>
      <c r="F12" s="2"/>
      <c r="G12" s="2"/>
      <c r="H12" s="1"/>
      <c r="I12" s="1"/>
    </row>
    <row r="13" spans="1:9">
      <c r="A13" s="3">
        <v>41994</v>
      </c>
      <c r="B13" s="9">
        <v>100</v>
      </c>
      <c r="C13" s="9" t="s">
        <v>28</v>
      </c>
      <c r="D13" s="9" t="s">
        <v>35</v>
      </c>
      <c r="E13" s="12">
        <v>2</v>
      </c>
      <c r="F13" s="5">
        <f>(B13*E13)/1000</f>
        <v>0.2</v>
      </c>
      <c r="G13" s="1"/>
      <c r="H13" s="1"/>
      <c r="I13" s="1"/>
    </row>
    <row r="14" spans="1:9">
      <c r="A14" s="9" t="s">
        <v>1</v>
      </c>
      <c r="B14" s="28">
        <v>100</v>
      </c>
      <c r="C14" s="9" t="s">
        <v>29</v>
      </c>
      <c r="D14" s="9" t="s">
        <v>18</v>
      </c>
      <c r="E14" s="12">
        <v>30</v>
      </c>
      <c r="F14" s="5">
        <f t="shared" ref="F14:F25" si="1">(B14*E14)/1000</f>
        <v>3</v>
      </c>
      <c r="G14" s="1"/>
      <c r="H14" s="1"/>
      <c r="I14" s="1"/>
    </row>
    <row r="15" spans="1:9">
      <c r="A15" s="9" t="s">
        <v>11</v>
      </c>
      <c r="B15" s="28">
        <v>100</v>
      </c>
      <c r="C15" s="9"/>
      <c r="D15" s="9" t="s">
        <v>30</v>
      </c>
      <c r="E15" s="12">
        <v>10</v>
      </c>
      <c r="F15" s="5">
        <f t="shared" si="1"/>
        <v>1</v>
      </c>
      <c r="G15" s="1" t="s">
        <v>16</v>
      </c>
      <c r="H15" s="1"/>
      <c r="I15" s="1"/>
    </row>
    <row r="16" spans="1:9">
      <c r="A16" s="1"/>
      <c r="B16" s="28">
        <v>100</v>
      </c>
      <c r="C16" s="9"/>
      <c r="D16" s="28" t="s">
        <v>46</v>
      </c>
      <c r="E16" s="12">
        <v>10</v>
      </c>
      <c r="F16" s="5">
        <f t="shared" si="1"/>
        <v>1</v>
      </c>
      <c r="G16" s="1"/>
      <c r="H16" s="1"/>
      <c r="I16" s="1"/>
    </row>
    <row r="17" spans="1:9">
      <c r="A17" s="1"/>
      <c r="B17" s="28">
        <v>100</v>
      </c>
      <c r="C17" s="9"/>
      <c r="D17" s="9" t="s">
        <v>13</v>
      </c>
      <c r="E17" s="12">
        <v>10</v>
      </c>
      <c r="F17" s="5">
        <f t="shared" si="1"/>
        <v>1</v>
      </c>
      <c r="G17" s="1"/>
      <c r="H17" s="1"/>
      <c r="I17" s="1"/>
    </row>
    <row r="18" spans="1:9">
      <c r="A18" s="1"/>
      <c r="B18" s="28">
        <v>100</v>
      </c>
      <c r="C18" s="9"/>
      <c r="D18" s="9" t="s">
        <v>19</v>
      </c>
      <c r="E18" s="12">
        <v>1</v>
      </c>
      <c r="F18" s="5">
        <f t="shared" si="1"/>
        <v>0.1</v>
      </c>
      <c r="G18" s="1"/>
      <c r="H18" s="1"/>
      <c r="I18" s="1"/>
    </row>
    <row r="19" spans="1:9">
      <c r="A19" s="1"/>
      <c r="B19" s="28">
        <v>100</v>
      </c>
      <c r="C19" s="9"/>
      <c r="D19" s="9" t="s">
        <v>12</v>
      </c>
      <c r="E19" s="12">
        <v>10</v>
      </c>
      <c r="F19" s="5">
        <f t="shared" si="1"/>
        <v>1</v>
      </c>
      <c r="G19" s="1"/>
      <c r="H19" s="1"/>
      <c r="I19" s="1"/>
    </row>
    <row r="20" spans="1:9">
      <c r="A20" s="1"/>
      <c r="B20" s="28">
        <v>100</v>
      </c>
      <c r="C20" s="9" t="s">
        <v>31</v>
      </c>
      <c r="D20" s="9" t="s">
        <v>32</v>
      </c>
      <c r="E20" s="12">
        <v>200</v>
      </c>
      <c r="F20" s="5">
        <f t="shared" si="1"/>
        <v>20</v>
      </c>
      <c r="G20" s="1" t="s">
        <v>291</v>
      </c>
      <c r="H20" s="1"/>
      <c r="I20" s="1"/>
    </row>
    <row r="21" spans="1:9">
      <c r="A21" s="1"/>
      <c r="B21" s="28">
        <v>100</v>
      </c>
      <c r="C21" s="9"/>
      <c r="D21" s="9" t="s">
        <v>33</v>
      </c>
      <c r="E21" s="12">
        <v>0</v>
      </c>
      <c r="F21" s="5">
        <f t="shared" si="1"/>
        <v>0</v>
      </c>
      <c r="G21" s="1"/>
      <c r="H21" s="1"/>
      <c r="I21" s="1"/>
    </row>
    <row r="22" spans="1:9">
      <c r="A22" s="1"/>
      <c r="B22" s="28">
        <v>100</v>
      </c>
      <c r="C22" s="30" t="s">
        <v>318</v>
      </c>
      <c r="D22" s="30" t="s">
        <v>46</v>
      </c>
      <c r="E22" s="12">
        <v>50</v>
      </c>
      <c r="F22" s="5">
        <f t="shared" si="1"/>
        <v>5</v>
      </c>
      <c r="G22" s="1"/>
      <c r="H22" s="1"/>
      <c r="I22" s="1"/>
    </row>
    <row r="23" spans="1:9">
      <c r="A23" s="1"/>
      <c r="B23" s="28">
        <v>100</v>
      </c>
      <c r="C23" s="9"/>
      <c r="D23" s="30" t="s">
        <v>21</v>
      </c>
      <c r="E23" s="12">
        <v>5</v>
      </c>
      <c r="F23" s="5">
        <f t="shared" si="1"/>
        <v>0.5</v>
      </c>
      <c r="G23" s="1"/>
      <c r="H23" s="1"/>
      <c r="I23" s="1"/>
    </row>
    <row r="24" spans="1:9">
      <c r="A24" s="1"/>
      <c r="B24" s="30">
        <v>100</v>
      </c>
      <c r="C24" s="30"/>
      <c r="D24" s="30" t="s">
        <v>309</v>
      </c>
      <c r="E24" s="12">
        <v>10</v>
      </c>
      <c r="F24" s="5">
        <f t="shared" si="1"/>
        <v>1</v>
      </c>
      <c r="G24" s="1"/>
      <c r="H24" s="1"/>
      <c r="I24" s="1"/>
    </row>
    <row r="25" spans="1:9">
      <c r="A25" s="1"/>
      <c r="B25" s="28">
        <v>100</v>
      </c>
      <c r="C25" s="23" t="s">
        <v>8</v>
      </c>
      <c r="D25" s="23" t="s">
        <v>8</v>
      </c>
      <c r="E25" s="12">
        <v>40</v>
      </c>
      <c r="F25" s="5">
        <f t="shared" si="1"/>
        <v>4</v>
      </c>
      <c r="G25" s="1"/>
      <c r="H25" s="1"/>
      <c r="I25" s="1"/>
    </row>
    <row r="26" spans="1:9">
      <c r="A26" s="2"/>
      <c r="B26" s="2"/>
      <c r="C26" s="2"/>
      <c r="D26" s="2"/>
      <c r="E26" s="11"/>
      <c r="F26" s="2"/>
      <c r="G26" s="2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topLeftCell="A5" workbookViewId="0">
      <selection activeCell="C26" sqref="C26"/>
    </sheetView>
  </sheetViews>
  <sheetFormatPr defaultRowHeight="16.5"/>
  <cols>
    <col min="1" max="1" width="6.25" customWidth="1"/>
    <col min="2" max="2" width="6.5" customWidth="1"/>
    <col min="3" max="3" width="16.25" customWidth="1"/>
    <col min="4" max="4" width="14.5" customWidth="1"/>
    <col min="5" max="5" width="10.25" customWidth="1"/>
    <col min="6" max="6" width="8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1" t="s">
        <v>263</v>
      </c>
      <c r="B1" s="31"/>
      <c r="C1" s="31"/>
      <c r="D1" s="31"/>
      <c r="E1" s="31"/>
      <c r="F1" s="31"/>
      <c r="G1" s="31"/>
      <c r="H1" s="31"/>
      <c r="I1" s="31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4" t="s">
        <v>17</v>
      </c>
      <c r="F2" s="4" t="s">
        <v>6</v>
      </c>
      <c r="G2" s="4" t="s">
        <v>7</v>
      </c>
      <c r="H2" s="4"/>
      <c r="I2" s="4"/>
    </row>
    <row r="3" spans="1:9">
      <c r="A3" s="3">
        <v>41995</v>
      </c>
      <c r="B3" s="4">
        <v>100</v>
      </c>
      <c r="C3" s="23" t="s">
        <v>227</v>
      </c>
      <c r="D3" s="23" t="s">
        <v>35</v>
      </c>
      <c r="E3" s="8">
        <v>0.2</v>
      </c>
      <c r="F3" s="5">
        <f>(B3*E3)/1000</f>
        <v>0.02</v>
      </c>
      <c r="G3" s="1"/>
      <c r="H3" s="1"/>
      <c r="I3" s="1"/>
    </row>
    <row r="4" spans="1:9">
      <c r="A4" s="4" t="s">
        <v>1</v>
      </c>
      <c r="B4" s="28">
        <v>100</v>
      </c>
      <c r="C4" s="9" t="s">
        <v>76</v>
      </c>
      <c r="D4" s="9" t="s">
        <v>77</v>
      </c>
      <c r="E4" s="8">
        <v>170</v>
      </c>
      <c r="F4" s="5">
        <f t="shared" ref="F4:F14" si="0">(B4*E4)/1000</f>
        <v>17</v>
      </c>
      <c r="G4" s="1"/>
      <c r="H4" s="1"/>
      <c r="I4" s="1"/>
    </row>
    <row r="5" spans="1:9">
      <c r="A5" s="4" t="s">
        <v>14</v>
      </c>
      <c r="B5" s="28">
        <v>100</v>
      </c>
      <c r="C5" s="9" t="s">
        <v>82</v>
      </c>
      <c r="D5" s="9" t="s">
        <v>78</v>
      </c>
      <c r="E5" s="8">
        <v>40</v>
      </c>
      <c r="F5" s="5">
        <f t="shared" si="0"/>
        <v>4</v>
      </c>
      <c r="G5" s="1"/>
      <c r="H5" s="1"/>
      <c r="I5" s="1"/>
    </row>
    <row r="6" spans="1:9">
      <c r="A6" s="1"/>
      <c r="B6" s="28">
        <v>100</v>
      </c>
      <c r="C6" s="4"/>
      <c r="D6" s="9" t="s">
        <v>34</v>
      </c>
      <c r="E6" s="8">
        <v>20</v>
      </c>
      <c r="F6" s="5">
        <f t="shared" si="0"/>
        <v>2</v>
      </c>
      <c r="G6" s="1"/>
      <c r="H6" s="1"/>
      <c r="I6" s="1"/>
    </row>
    <row r="7" spans="1:9">
      <c r="A7" s="1"/>
      <c r="B7" s="28">
        <v>100</v>
      </c>
      <c r="C7" s="4"/>
      <c r="D7" s="9" t="s">
        <v>79</v>
      </c>
      <c r="E7" s="8">
        <v>10</v>
      </c>
      <c r="F7" s="5">
        <f t="shared" si="0"/>
        <v>1</v>
      </c>
      <c r="G7" s="1"/>
      <c r="H7" s="1"/>
      <c r="I7" s="1"/>
    </row>
    <row r="8" spans="1:9">
      <c r="A8" s="1"/>
      <c r="B8" s="28">
        <v>100</v>
      </c>
      <c r="C8" s="4"/>
      <c r="D8" s="9" t="s">
        <v>80</v>
      </c>
      <c r="E8" s="8">
        <v>5</v>
      </c>
      <c r="F8" s="5">
        <f t="shared" si="0"/>
        <v>0.5</v>
      </c>
      <c r="G8" s="1" t="s">
        <v>81</v>
      </c>
      <c r="H8" s="1"/>
      <c r="I8" s="1"/>
    </row>
    <row r="9" spans="1:9">
      <c r="A9" s="1"/>
      <c r="B9" s="28">
        <v>100</v>
      </c>
      <c r="C9" s="30" t="s">
        <v>292</v>
      </c>
      <c r="D9" s="30" t="s">
        <v>293</v>
      </c>
      <c r="E9" s="8">
        <v>100</v>
      </c>
      <c r="F9" s="5">
        <f t="shared" si="0"/>
        <v>10</v>
      </c>
      <c r="G9" s="1" t="s">
        <v>289</v>
      </c>
      <c r="H9" s="1"/>
      <c r="I9" s="1"/>
    </row>
    <row r="10" spans="1:9">
      <c r="A10" s="1"/>
      <c r="B10" s="28">
        <v>100</v>
      </c>
      <c r="C10" s="4"/>
      <c r="D10" s="30" t="s">
        <v>294</v>
      </c>
      <c r="E10" s="8">
        <v>30</v>
      </c>
      <c r="F10" s="5">
        <f t="shared" si="0"/>
        <v>3</v>
      </c>
      <c r="G10" s="1" t="s">
        <v>289</v>
      </c>
      <c r="H10" s="1"/>
      <c r="I10" s="1"/>
    </row>
    <row r="11" spans="1:9">
      <c r="A11" s="1"/>
      <c r="B11" s="28">
        <v>100</v>
      </c>
      <c r="C11" s="4"/>
      <c r="D11" s="30" t="s">
        <v>295</v>
      </c>
      <c r="E11" s="8">
        <v>50</v>
      </c>
      <c r="F11" s="5">
        <f t="shared" si="0"/>
        <v>5</v>
      </c>
      <c r="G11" s="1" t="s">
        <v>289</v>
      </c>
      <c r="H11" s="1"/>
      <c r="I11" s="1"/>
    </row>
    <row r="12" spans="1:9">
      <c r="A12" s="1"/>
      <c r="B12" s="28">
        <v>100</v>
      </c>
      <c r="C12" s="4"/>
      <c r="D12" s="30" t="s">
        <v>296</v>
      </c>
      <c r="E12" s="8">
        <v>5</v>
      </c>
      <c r="F12" s="5">
        <f t="shared" si="0"/>
        <v>0.5</v>
      </c>
      <c r="G12" s="1"/>
      <c r="H12" s="1"/>
      <c r="I12" s="1"/>
    </row>
    <row r="13" spans="1:9">
      <c r="A13" s="1"/>
      <c r="B13" s="30">
        <v>100</v>
      </c>
      <c r="C13" s="30"/>
      <c r="D13" s="30" t="s">
        <v>297</v>
      </c>
      <c r="E13" s="8">
        <v>40</v>
      </c>
      <c r="F13" s="5">
        <f t="shared" si="0"/>
        <v>4</v>
      </c>
      <c r="G13" s="1"/>
      <c r="H13" s="1"/>
      <c r="I13" s="1"/>
    </row>
    <row r="14" spans="1:9">
      <c r="A14" s="1"/>
      <c r="B14" s="28">
        <v>100</v>
      </c>
      <c r="C14" s="28" t="s">
        <v>265</v>
      </c>
      <c r="D14" s="28" t="s">
        <v>153</v>
      </c>
      <c r="E14" s="8">
        <v>100</v>
      </c>
      <c r="F14" s="5">
        <f t="shared" si="0"/>
        <v>10</v>
      </c>
      <c r="G14" s="1"/>
      <c r="H14" s="1"/>
      <c r="I14" s="1"/>
    </row>
    <row r="15" spans="1:9">
      <c r="A15" s="1"/>
      <c r="B15" s="28">
        <v>100</v>
      </c>
      <c r="C15" s="28" t="s">
        <v>26</v>
      </c>
      <c r="D15" s="28" t="s">
        <v>26</v>
      </c>
      <c r="E15" s="8">
        <v>40</v>
      </c>
      <c r="F15" s="5">
        <f>(B15*E15)/1000</f>
        <v>4</v>
      </c>
      <c r="G15" s="1"/>
      <c r="H15" s="1"/>
      <c r="I15" s="1"/>
    </row>
    <row r="16" spans="1:9">
      <c r="A16" s="2"/>
      <c r="B16" s="2"/>
      <c r="C16" s="2"/>
      <c r="D16" s="2"/>
      <c r="E16" s="2"/>
      <c r="F16" s="2"/>
      <c r="G16" s="2"/>
      <c r="H16" s="1"/>
      <c r="I16" s="1"/>
    </row>
    <row r="17" spans="1:9">
      <c r="A17" s="3">
        <v>41996</v>
      </c>
      <c r="B17" s="4">
        <v>100</v>
      </c>
      <c r="C17" s="28" t="s">
        <v>266</v>
      </c>
      <c r="D17" s="28" t="s">
        <v>267</v>
      </c>
      <c r="E17" s="8">
        <v>20</v>
      </c>
      <c r="F17" s="5">
        <f>(B17*E17)/1000</f>
        <v>2</v>
      </c>
      <c r="G17" s="1"/>
      <c r="H17" s="1"/>
      <c r="I17" s="1"/>
    </row>
    <row r="18" spans="1:9">
      <c r="A18" s="4" t="s">
        <v>15</v>
      </c>
      <c r="B18" s="27">
        <v>100</v>
      </c>
      <c r="C18" s="4"/>
      <c r="D18" s="28" t="s">
        <v>43</v>
      </c>
      <c r="E18" s="8">
        <v>20</v>
      </c>
      <c r="F18" s="5">
        <f t="shared" ref="F18:F26" si="1">(B18*E18)/1000</f>
        <v>2</v>
      </c>
      <c r="G18" s="1"/>
      <c r="H18" s="1"/>
      <c r="I18" s="1"/>
    </row>
    <row r="19" spans="1:9">
      <c r="A19" s="4" t="s">
        <v>2</v>
      </c>
      <c r="B19" s="27">
        <v>100</v>
      </c>
      <c r="C19" s="4"/>
      <c r="D19" s="28" t="s">
        <v>9</v>
      </c>
      <c r="E19" s="8">
        <v>60</v>
      </c>
      <c r="F19" s="5">
        <f t="shared" si="1"/>
        <v>6</v>
      </c>
      <c r="G19" s="1"/>
      <c r="H19" s="1"/>
      <c r="I19" s="1"/>
    </row>
    <row r="20" spans="1:9">
      <c r="A20" s="1"/>
      <c r="B20" s="27">
        <v>100</v>
      </c>
      <c r="C20" s="30" t="s">
        <v>298</v>
      </c>
      <c r="D20" s="30" t="s">
        <v>299</v>
      </c>
      <c r="E20" s="8">
        <v>100</v>
      </c>
      <c r="F20" s="5">
        <f t="shared" si="1"/>
        <v>10</v>
      </c>
      <c r="G20" s="1" t="s">
        <v>289</v>
      </c>
      <c r="H20" s="1"/>
      <c r="I20" s="1"/>
    </row>
    <row r="21" spans="1:9">
      <c r="A21" s="1"/>
      <c r="B21" s="30">
        <v>100</v>
      </c>
      <c r="C21" s="30"/>
      <c r="D21" s="30" t="s">
        <v>301</v>
      </c>
      <c r="E21" s="8">
        <v>20</v>
      </c>
      <c r="F21" s="5">
        <f t="shared" si="1"/>
        <v>2</v>
      </c>
      <c r="G21" s="1"/>
      <c r="H21" s="1"/>
      <c r="I21" s="1"/>
    </row>
    <row r="22" spans="1:9">
      <c r="A22" s="1"/>
      <c r="B22" s="28">
        <v>100</v>
      </c>
      <c r="C22" s="28"/>
      <c r="D22" s="30" t="s">
        <v>12</v>
      </c>
      <c r="E22" s="8">
        <v>30</v>
      </c>
      <c r="F22" s="5">
        <f t="shared" si="1"/>
        <v>3</v>
      </c>
      <c r="G22" s="1"/>
      <c r="H22" s="1"/>
      <c r="I22" s="1"/>
    </row>
    <row r="23" spans="1:9">
      <c r="A23" s="1"/>
      <c r="B23" s="30">
        <v>100</v>
      </c>
      <c r="C23" s="30"/>
      <c r="D23" s="30" t="s">
        <v>300</v>
      </c>
      <c r="E23" s="8">
        <v>20</v>
      </c>
      <c r="F23" s="5">
        <f t="shared" si="1"/>
        <v>2</v>
      </c>
      <c r="G23" s="1"/>
      <c r="H23" s="1"/>
      <c r="I23" s="1"/>
    </row>
    <row r="24" spans="1:9">
      <c r="A24" s="1"/>
      <c r="B24" s="27">
        <v>100</v>
      </c>
      <c r="C24" s="30" t="s">
        <v>92</v>
      </c>
      <c r="D24" s="30" t="s">
        <v>92</v>
      </c>
      <c r="E24" s="8">
        <v>100</v>
      </c>
      <c r="F24" s="5">
        <f t="shared" si="1"/>
        <v>10</v>
      </c>
      <c r="G24" s="1"/>
      <c r="H24" s="1"/>
      <c r="I24" s="1"/>
    </row>
    <row r="25" spans="1:9">
      <c r="A25" s="1"/>
      <c r="B25" s="27">
        <v>100</v>
      </c>
      <c r="C25" s="4" t="s">
        <v>26</v>
      </c>
      <c r="D25" s="4" t="s">
        <v>27</v>
      </c>
      <c r="E25" s="8">
        <v>40</v>
      </c>
      <c r="F25" s="5">
        <f t="shared" si="1"/>
        <v>4</v>
      </c>
      <c r="G25" s="1"/>
      <c r="H25" s="1"/>
      <c r="I25" s="1"/>
    </row>
    <row r="26" spans="1:9">
      <c r="A26" s="1"/>
      <c r="B26" s="27">
        <v>100</v>
      </c>
      <c r="C26" s="9" t="s">
        <v>54</v>
      </c>
      <c r="D26" s="9" t="s">
        <v>54</v>
      </c>
      <c r="E26" s="8">
        <v>100</v>
      </c>
      <c r="F26" s="5">
        <f t="shared" si="1"/>
        <v>10</v>
      </c>
      <c r="G26" s="1"/>
      <c r="H26" s="1"/>
      <c r="I26" s="1"/>
    </row>
    <row r="27" spans="1:9">
      <c r="A27" s="2"/>
      <c r="B27" s="2"/>
      <c r="C27" s="2"/>
      <c r="D27" s="2"/>
      <c r="E27" s="2"/>
      <c r="F27" s="2"/>
      <c r="G27" s="2"/>
      <c r="H27" s="1"/>
      <c r="I27" s="1"/>
    </row>
    <row r="28" spans="1:9">
      <c r="A28" s="3">
        <v>41996</v>
      </c>
      <c r="B28" s="4">
        <v>100</v>
      </c>
      <c r="C28" s="23" t="s">
        <v>228</v>
      </c>
      <c r="D28" s="23" t="s">
        <v>229</v>
      </c>
      <c r="E28" s="8">
        <v>2</v>
      </c>
      <c r="F28" s="5">
        <v>0.5</v>
      </c>
      <c r="G28" s="1"/>
      <c r="H28" s="1"/>
      <c r="I28" s="1"/>
    </row>
    <row r="29" spans="1:9">
      <c r="A29" s="4" t="s">
        <v>15</v>
      </c>
      <c r="B29" s="28">
        <v>100</v>
      </c>
      <c r="C29" s="28" t="s">
        <v>268</v>
      </c>
      <c r="D29" s="28" t="s">
        <v>269</v>
      </c>
      <c r="E29" s="8">
        <v>2</v>
      </c>
      <c r="F29" s="5">
        <f>(B29*E29)/1000</f>
        <v>0.2</v>
      </c>
      <c r="G29" s="1" t="s">
        <v>289</v>
      </c>
      <c r="H29" s="1"/>
      <c r="I29" s="1"/>
    </row>
    <row r="30" spans="1:9">
      <c r="A30" s="4" t="s">
        <v>11</v>
      </c>
      <c r="B30" s="28">
        <v>100</v>
      </c>
      <c r="C30" s="4"/>
      <c r="D30" s="28" t="s">
        <v>270</v>
      </c>
      <c r="E30" s="8">
        <v>30</v>
      </c>
      <c r="F30" s="5">
        <f t="shared" ref="F30:F39" si="2">(B30*E30)/1000</f>
        <v>3</v>
      </c>
      <c r="G30" s="1"/>
      <c r="H30" s="1"/>
      <c r="I30" s="1"/>
    </row>
    <row r="31" spans="1:9">
      <c r="A31" s="1"/>
      <c r="B31" s="28">
        <v>100</v>
      </c>
      <c r="C31" s="4"/>
      <c r="D31" s="28" t="s">
        <v>12</v>
      </c>
      <c r="E31" s="8">
        <v>10</v>
      </c>
      <c r="F31" s="5">
        <f t="shared" si="2"/>
        <v>1</v>
      </c>
      <c r="G31" s="1"/>
      <c r="H31" s="1"/>
      <c r="I31" s="1"/>
    </row>
    <row r="32" spans="1:9">
      <c r="A32" s="1"/>
      <c r="B32" s="28">
        <v>100</v>
      </c>
      <c r="C32" s="4"/>
      <c r="D32" s="28" t="s">
        <v>9</v>
      </c>
      <c r="E32" s="8">
        <v>20</v>
      </c>
      <c r="F32" s="5">
        <f t="shared" si="2"/>
        <v>2</v>
      </c>
      <c r="G32" s="1"/>
      <c r="H32" s="1"/>
      <c r="I32" s="1"/>
    </row>
    <row r="33" spans="1:9">
      <c r="A33" s="1"/>
      <c r="B33" s="28">
        <v>100</v>
      </c>
      <c r="C33" s="30" t="s">
        <v>302</v>
      </c>
      <c r="D33" s="30" t="s">
        <v>240</v>
      </c>
      <c r="E33" s="8">
        <v>100</v>
      </c>
      <c r="F33" s="5">
        <f t="shared" si="2"/>
        <v>10</v>
      </c>
      <c r="G33" s="1"/>
      <c r="H33" s="1"/>
      <c r="I33" s="1"/>
    </row>
    <row r="34" spans="1:9">
      <c r="A34" s="1"/>
      <c r="B34" s="28">
        <v>100</v>
      </c>
      <c r="C34" s="28"/>
      <c r="D34" s="28" t="s">
        <v>271</v>
      </c>
      <c r="E34" s="8">
        <v>30</v>
      </c>
      <c r="F34" s="5">
        <f t="shared" si="2"/>
        <v>3</v>
      </c>
      <c r="G34" s="1"/>
      <c r="H34" s="1"/>
      <c r="I34" s="1"/>
    </row>
    <row r="35" spans="1:9">
      <c r="A35" s="1"/>
      <c r="B35" s="28">
        <v>100</v>
      </c>
      <c r="C35" s="28"/>
      <c r="D35" s="28" t="s">
        <v>272</v>
      </c>
      <c r="E35" s="8">
        <v>30</v>
      </c>
      <c r="F35" s="5">
        <f t="shared" si="2"/>
        <v>3</v>
      </c>
      <c r="G35" s="1"/>
      <c r="H35" s="1"/>
      <c r="I35" s="1"/>
    </row>
    <row r="36" spans="1:9">
      <c r="A36" s="1"/>
      <c r="B36" s="28">
        <v>100</v>
      </c>
      <c r="C36" s="28"/>
      <c r="D36" s="30" t="s">
        <v>9</v>
      </c>
      <c r="E36" s="8">
        <v>2</v>
      </c>
      <c r="F36" s="5">
        <f t="shared" si="2"/>
        <v>0.2</v>
      </c>
      <c r="G36" s="1"/>
      <c r="H36" s="1"/>
      <c r="I36" s="1"/>
    </row>
    <row r="37" spans="1:9">
      <c r="A37" s="1"/>
      <c r="B37" s="28">
        <v>100</v>
      </c>
      <c r="C37" s="28" t="s">
        <v>273</v>
      </c>
      <c r="D37" s="28" t="s">
        <v>23</v>
      </c>
      <c r="E37" s="8">
        <v>50</v>
      </c>
      <c r="F37" s="5">
        <f t="shared" si="2"/>
        <v>5</v>
      </c>
      <c r="G37" s="1" t="s">
        <v>16</v>
      </c>
      <c r="H37" s="1"/>
      <c r="I37" s="1"/>
    </row>
    <row r="38" spans="1:9">
      <c r="A38" s="1"/>
      <c r="B38" s="28">
        <v>100</v>
      </c>
      <c r="C38" s="9"/>
      <c r="D38" s="23" t="s">
        <v>12</v>
      </c>
      <c r="E38" s="8">
        <v>10</v>
      </c>
      <c r="F38" s="5">
        <f t="shared" si="2"/>
        <v>1</v>
      </c>
      <c r="G38" s="1"/>
      <c r="H38" s="1"/>
      <c r="I38" s="1"/>
    </row>
    <row r="39" spans="1:9">
      <c r="A39" s="1"/>
      <c r="B39" s="28">
        <v>100</v>
      </c>
      <c r="C39" s="23" t="s">
        <v>230</v>
      </c>
      <c r="D39" s="23" t="s">
        <v>8</v>
      </c>
      <c r="E39" s="8">
        <v>40</v>
      </c>
      <c r="F39" s="5">
        <f t="shared" si="2"/>
        <v>4</v>
      </c>
      <c r="G39" s="1"/>
      <c r="H39" s="1"/>
      <c r="I39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tabSelected="1" topLeftCell="A6" workbookViewId="0">
      <selection activeCell="C37" sqref="C37"/>
    </sheetView>
  </sheetViews>
  <sheetFormatPr defaultRowHeight="16.5"/>
  <cols>
    <col min="1" max="1" width="6.5" customWidth="1"/>
    <col min="2" max="2" width="5.375" customWidth="1"/>
    <col min="3" max="3" width="13.875" customWidth="1"/>
    <col min="4" max="4" width="15.375" customWidth="1"/>
    <col min="5" max="5" width="8.625" customWidth="1"/>
    <col min="6" max="6" width="9.12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1" t="s">
        <v>274</v>
      </c>
      <c r="B1" s="31"/>
      <c r="C1" s="31"/>
      <c r="D1" s="31"/>
      <c r="E1" s="31"/>
      <c r="F1" s="31"/>
      <c r="G1" s="31"/>
      <c r="H1" s="31"/>
      <c r="I1" s="31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4" t="s">
        <v>17</v>
      </c>
      <c r="F2" s="4" t="s">
        <v>6</v>
      </c>
      <c r="G2" s="4" t="s">
        <v>7</v>
      </c>
      <c r="H2" s="4"/>
      <c r="I2" s="4"/>
    </row>
    <row r="3" spans="1:9">
      <c r="A3" s="3">
        <v>41996</v>
      </c>
      <c r="B3" s="4">
        <v>100</v>
      </c>
      <c r="C3" s="30" t="s">
        <v>28</v>
      </c>
      <c r="D3" s="30" t="s">
        <v>35</v>
      </c>
      <c r="E3" s="8">
        <v>2</v>
      </c>
      <c r="F3" s="5">
        <f>(B3*E3)/1000</f>
        <v>0.2</v>
      </c>
      <c r="G3" s="1"/>
      <c r="H3" s="1"/>
      <c r="I3" s="1"/>
    </row>
    <row r="4" spans="1:9">
      <c r="A4" s="30" t="s">
        <v>303</v>
      </c>
      <c r="B4" s="29">
        <v>100</v>
      </c>
      <c r="C4" s="29" t="s">
        <v>275</v>
      </c>
      <c r="D4" s="29" t="s">
        <v>141</v>
      </c>
      <c r="E4" s="8">
        <v>30</v>
      </c>
      <c r="F4" s="6">
        <f>(B5*E4)/1000</f>
        <v>3</v>
      </c>
      <c r="G4" s="1"/>
      <c r="H4" s="1"/>
      <c r="I4" s="1"/>
    </row>
    <row r="5" spans="1:9">
      <c r="A5" s="30" t="s">
        <v>304</v>
      </c>
      <c r="B5" s="29">
        <v>100</v>
      </c>
      <c r="C5" s="4"/>
      <c r="D5" s="4" t="s">
        <v>38</v>
      </c>
      <c r="E5" s="8">
        <v>5</v>
      </c>
      <c r="F5" s="6">
        <f>(B14*E5)/1000</f>
        <v>0.5</v>
      </c>
      <c r="G5" s="1" t="s">
        <v>39</v>
      </c>
      <c r="H5" s="1"/>
      <c r="I5" s="1"/>
    </row>
    <row r="6" spans="1:9">
      <c r="A6" s="30"/>
      <c r="B6" s="30">
        <v>100</v>
      </c>
      <c r="C6" s="30" t="s">
        <v>305</v>
      </c>
      <c r="D6" s="30" t="s">
        <v>306</v>
      </c>
      <c r="E6" s="8">
        <v>100</v>
      </c>
      <c r="F6" s="6">
        <f>(B15*E6)/1000</f>
        <v>10</v>
      </c>
      <c r="G6" s="1"/>
      <c r="H6" s="1"/>
      <c r="I6" s="1"/>
    </row>
    <row r="7" spans="1:9">
      <c r="A7" s="30"/>
      <c r="B7" s="30">
        <v>100</v>
      </c>
      <c r="C7" s="30"/>
      <c r="D7" s="30" t="s">
        <v>307</v>
      </c>
      <c r="E7" s="8">
        <v>10</v>
      </c>
      <c r="F7" s="6">
        <f>(B7*E7)/1000</f>
        <v>1</v>
      </c>
      <c r="G7" s="1"/>
      <c r="H7" s="1"/>
      <c r="I7" s="1"/>
    </row>
    <row r="8" spans="1:9">
      <c r="A8" s="30"/>
      <c r="B8" s="30">
        <v>100</v>
      </c>
      <c r="C8" s="30"/>
      <c r="D8" s="30" t="s">
        <v>308</v>
      </c>
      <c r="E8" s="8">
        <v>10</v>
      </c>
      <c r="F8" s="6">
        <f>(B8*E8)/1000</f>
        <v>1</v>
      </c>
      <c r="G8" s="1"/>
      <c r="H8" s="1"/>
      <c r="I8" s="1"/>
    </row>
    <row r="9" spans="1:9">
      <c r="A9" s="30"/>
      <c r="B9" s="30">
        <v>100</v>
      </c>
      <c r="C9" s="30"/>
      <c r="D9" s="30" t="s">
        <v>300</v>
      </c>
      <c r="E9" s="8">
        <v>10</v>
      </c>
      <c r="F9" s="6">
        <f>(B9*E9)/1000</f>
        <v>1</v>
      </c>
      <c r="G9" s="1"/>
      <c r="H9" s="1"/>
      <c r="I9" s="1"/>
    </row>
    <row r="10" spans="1:9">
      <c r="A10" s="30"/>
      <c r="B10" s="30">
        <v>100</v>
      </c>
      <c r="C10" s="30"/>
      <c r="D10" s="30" t="s">
        <v>309</v>
      </c>
      <c r="E10" s="8">
        <v>20</v>
      </c>
      <c r="F10" s="6">
        <f>(B10*E10)/1000</f>
        <v>2</v>
      </c>
      <c r="G10" s="1" t="s">
        <v>16</v>
      </c>
      <c r="H10" s="1"/>
      <c r="I10" s="1"/>
    </row>
    <row r="11" spans="1:9">
      <c r="A11" s="1"/>
      <c r="B11" s="29">
        <v>100</v>
      </c>
      <c r="C11" s="29" t="s">
        <v>276</v>
      </c>
      <c r="D11" s="29" t="s">
        <v>133</v>
      </c>
      <c r="E11" s="8">
        <v>40</v>
      </c>
      <c r="F11" s="6">
        <f>(B11*E11)/1000</f>
        <v>4</v>
      </c>
      <c r="G11" s="1"/>
      <c r="H11" s="1"/>
      <c r="I11" s="1"/>
    </row>
    <row r="12" spans="1:9">
      <c r="A12" s="1"/>
      <c r="B12" s="29">
        <v>100</v>
      </c>
      <c r="C12" s="9"/>
      <c r="D12" s="29" t="s">
        <v>21</v>
      </c>
      <c r="E12" s="8">
        <v>5</v>
      </c>
      <c r="F12" s="6">
        <f>(B12*E12)/1000</f>
        <v>0.5</v>
      </c>
      <c r="G12" s="1"/>
      <c r="H12" s="1"/>
      <c r="I12" s="1"/>
    </row>
    <row r="13" spans="1:9">
      <c r="A13" s="1"/>
      <c r="B13" s="29">
        <v>100</v>
      </c>
      <c r="C13" s="9"/>
      <c r="D13" s="29" t="s">
        <v>12</v>
      </c>
      <c r="E13" s="8">
        <v>5</v>
      </c>
      <c r="F13" s="6">
        <f t="shared" ref="F13:F14" si="0">(B13*E13)/1000</f>
        <v>0.5</v>
      </c>
      <c r="G13" s="1"/>
      <c r="H13" s="1"/>
      <c r="I13" s="1"/>
    </row>
    <row r="14" spans="1:9">
      <c r="A14" s="1"/>
      <c r="B14" s="29">
        <v>100</v>
      </c>
      <c r="C14" s="9" t="s">
        <v>8</v>
      </c>
      <c r="D14" s="9" t="s">
        <v>8</v>
      </c>
      <c r="E14" s="8">
        <v>40</v>
      </c>
      <c r="F14" s="6">
        <f t="shared" si="0"/>
        <v>4</v>
      </c>
      <c r="G14" s="1"/>
      <c r="H14" s="1"/>
      <c r="I14" s="1"/>
    </row>
    <row r="15" spans="1:9">
      <c r="A15" s="1"/>
      <c r="B15" s="29">
        <v>100</v>
      </c>
      <c r="C15" s="29" t="s">
        <v>213</v>
      </c>
      <c r="D15" s="29" t="s">
        <v>213</v>
      </c>
      <c r="E15" s="8">
        <v>60</v>
      </c>
      <c r="F15" s="6" t="s">
        <v>277</v>
      </c>
      <c r="G15" s="1"/>
      <c r="H15" s="1"/>
      <c r="I15" s="1"/>
    </row>
    <row r="16" spans="1:9">
      <c r="A16" s="2"/>
      <c r="B16" s="2"/>
      <c r="C16" s="2"/>
      <c r="D16" s="2"/>
      <c r="E16" s="2"/>
      <c r="F16" s="2"/>
      <c r="G16" s="2"/>
      <c r="H16" s="1"/>
      <c r="I16" s="1"/>
    </row>
    <row r="17" spans="1:9">
      <c r="A17" s="3">
        <v>41997</v>
      </c>
      <c r="B17" s="4">
        <v>50</v>
      </c>
      <c r="C17" s="29" t="s">
        <v>278</v>
      </c>
      <c r="D17" s="29" t="s">
        <v>279</v>
      </c>
      <c r="E17" s="8">
        <v>30</v>
      </c>
      <c r="F17" s="5">
        <f>(B17*E17)/1000</f>
        <v>1.5</v>
      </c>
      <c r="G17" s="1"/>
      <c r="H17" s="1"/>
      <c r="I17" s="1"/>
    </row>
    <row r="18" spans="1:9">
      <c r="A18" s="4" t="s">
        <v>40</v>
      </c>
      <c r="B18" s="30">
        <v>50</v>
      </c>
      <c r="C18" s="4"/>
      <c r="D18" s="29" t="s">
        <v>50</v>
      </c>
      <c r="E18" s="8">
        <v>30</v>
      </c>
      <c r="F18" s="5">
        <f t="shared" ref="F18:F24" si="1">(B18*E18)/1000</f>
        <v>1.5</v>
      </c>
      <c r="G18" s="1"/>
      <c r="H18" s="1"/>
      <c r="I18" s="1"/>
    </row>
    <row r="19" spans="1:9">
      <c r="A19" s="4" t="s">
        <v>41</v>
      </c>
      <c r="B19" s="30">
        <v>50</v>
      </c>
      <c r="C19" s="4"/>
      <c r="D19" s="29" t="s">
        <v>9</v>
      </c>
      <c r="E19" s="8">
        <v>2</v>
      </c>
      <c r="F19" s="5">
        <f t="shared" si="1"/>
        <v>0.1</v>
      </c>
      <c r="G19" s="1"/>
      <c r="H19" s="1"/>
      <c r="I19" s="1"/>
    </row>
    <row r="20" spans="1:9">
      <c r="A20" s="1"/>
      <c r="B20" s="30">
        <v>50</v>
      </c>
      <c r="C20" s="30" t="s">
        <v>319</v>
      </c>
      <c r="D20" s="30" t="s">
        <v>320</v>
      </c>
      <c r="E20" s="8">
        <v>80</v>
      </c>
      <c r="F20" s="5">
        <f t="shared" si="1"/>
        <v>4</v>
      </c>
      <c r="G20" s="1"/>
      <c r="H20" s="1"/>
      <c r="I20" s="1"/>
    </row>
    <row r="21" spans="1:9">
      <c r="A21" s="1"/>
      <c r="B21" s="30">
        <v>50</v>
      </c>
      <c r="C21" s="4"/>
      <c r="D21" s="30" t="s">
        <v>22</v>
      </c>
      <c r="E21" s="8">
        <v>20</v>
      </c>
      <c r="F21" s="5">
        <f t="shared" si="1"/>
        <v>1</v>
      </c>
      <c r="G21" s="1"/>
      <c r="H21" s="1"/>
      <c r="I21" s="1"/>
    </row>
    <row r="22" spans="1:9">
      <c r="A22" s="1"/>
      <c r="B22" s="30">
        <v>50</v>
      </c>
      <c r="C22" s="29" t="s">
        <v>280</v>
      </c>
      <c r="D22" s="29" t="s">
        <v>281</v>
      </c>
      <c r="E22" s="8">
        <v>20</v>
      </c>
      <c r="F22" s="5">
        <f t="shared" si="1"/>
        <v>1</v>
      </c>
      <c r="G22" s="1"/>
      <c r="H22" s="1"/>
      <c r="I22" s="1"/>
    </row>
    <row r="23" spans="1:9">
      <c r="A23" s="1"/>
      <c r="B23" s="30">
        <v>50</v>
      </c>
      <c r="C23" s="4"/>
      <c r="D23" s="23" t="s">
        <v>231</v>
      </c>
      <c r="E23" s="8">
        <v>5</v>
      </c>
      <c r="F23" s="5">
        <f t="shared" si="1"/>
        <v>0.25</v>
      </c>
      <c r="G23" s="1"/>
      <c r="H23" s="1"/>
      <c r="I23" s="1"/>
    </row>
    <row r="24" spans="1:9">
      <c r="A24" s="1"/>
      <c r="B24" s="30">
        <v>50</v>
      </c>
      <c r="C24" s="4" t="s">
        <v>42</v>
      </c>
      <c r="D24" s="4" t="s">
        <v>10</v>
      </c>
      <c r="E24" s="8">
        <v>40</v>
      </c>
      <c r="F24" s="5">
        <f t="shared" si="1"/>
        <v>2</v>
      </c>
      <c r="G24" s="1"/>
      <c r="H24" s="1"/>
      <c r="I24" s="1"/>
    </row>
    <row r="25" spans="1:9">
      <c r="A25" s="1"/>
      <c r="B25" s="30">
        <v>50</v>
      </c>
      <c r="C25" s="23" t="s">
        <v>232</v>
      </c>
      <c r="D25" s="23" t="s">
        <v>232</v>
      </c>
      <c r="E25" s="8">
        <v>100</v>
      </c>
      <c r="F25" s="6" t="s">
        <v>282</v>
      </c>
      <c r="G25" s="1"/>
      <c r="H25" s="1"/>
      <c r="I25" s="1"/>
    </row>
    <row r="26" spans="1:9">
      <c r="A26" s="2"/>
      <c r="B26" s="2"/>
      <c r="C26" s="2"/>
      <c r="D26" s="2"/>
      <c r="E26" s="2"/>
      <c r="F26" s="2"/>
      <c r="G26" s="2"/>
      <c r="H26" s="1"/>
      <c r="I26" s="1"/>
    </row>
    <row r="27" spans="1:9">
      <c r="A27" s="3">
        <v>41997</v>
      </c>
      <c r="B27" s="4">
        <v>50</v>
      </c>
      <c r="C27" s="30" t="s">
        <v>310</v>
      </c>
      <c r="D27" s="30" t="s">
        <v>311</v>
      </c>
      <c r="E27" s="8">
        <v>2</v>
      </c>
      <c r="F27" s="5">
        <f>(B27*E27)/1000</f>
        <v>0.1</v>
      </c>
      <c r="G27" s="1"/>
      <c r="H27" s="1"/>
      <c r="I27" s="1"/>
    </row>
    <row r="28" spans="1:9">
      <c r="A28" s="30" t="s">
        <v>312</v>
      </c>
      <c r="B28" s="30">
        <v>50</v>
      </c>
      <c r="C28" s="30" t="s">
        <v>314</v>
      </c>
      <c r="D28" s="30" t="s">
        <v>37</v>
      </c>
      <c r="E28" s="8">
        <v>30</v>
      </c>
      <c r="F28" s="5">
        <f t="shared" ref="F28:F37" si="2">(B28*E28)/1000</f>
        <v>1.5</v>
      </c>
      <c r="G28" s="1"/>
      <c r="H28" s="1"/>
      <c r="I28" s="1"/>
    </row>
    <row r="29" spans="1:9">
      <c r="A29" s="30" t="s">
        <v>313</v>
      </c>
      <c r="B29" s="30">
        <v>50</v>
      </c>
      <c r="C29" s="7"/>
      <c r="D29" s="30" t="s">
        <v>20</v>
      </c>
      <c r="E29" s="8">
        <v>30</v>
      </c>
      <c r="F29" s="5">
        <f t="shared" si="2"/>
        <v>1.5</v>
      </c>
      <c r="G29" s="1" t="s">
        <v>233</v>
      </c>
      <c r="H29" s="1"/>
      <c r="I29" s="1"/>
    </row>
    <row r="30" spans="1:9">
      <c r="A30" s="29"/>
      <c r="B30" s="30">
        <v>50</v>
      </c>
      <c r="C30" s="29"/>
      <c r="D30" s="29" t="s">
        <v>284</v>
      </c>
      <c r="E30" s="8">
        <v>10</v>
      </c>
      <c r="F30" s="5">
        <f t="shared" si="2"/>
        <v>0.5</v>
      </c>
      <c r="G30" s="1"/>
      <c r="H30" s="1"/>
      <c r="I30" s="1"/>
    </row>
    <row r="31" spans="1:9">
      <c r="A31" s="29"/>
      <c r="B31" s="30">
        <v>50</v>
      </c>
      <c r="C31" s="29"/>
      <c r="D31" s="29" t="s">
        <v>283</v>
      </c>
      <c r="E31" s="8">
        <v>10</v>
      </c>
      <c r="F31" s="5">
        <f t="shared" si="2"/>
        <v>0.5</v>
      </c>
      <c r="G31" s="1"/>
      <c r="H31" s="1"/>
      <c r="I31" s="1"/>
    </row>
    <row r="32" spans="1:9">
      <c r="A32" s="30"/>
      <c r="B32" s="30">
        <v>50</v>
      </c>
      <c r="C32" s="30" t="s">
        <v>315</v>
      </c>
      <c r="D32" s="30" t="s">
        <v>316</v>
      </c>
      <c r="E32" s="8">
        <v>150</v>
      </c>
      <c r="F32" s="5">
        <f t="shared" si="2"/>
        <v>7.5</v>
      </c>
      <c r="G32" s="1"/>
      <c r="H32" s="1"/>
      <c r="I32" s="1"/>
    </row>
    <row r="33" spans="1:9">
      <c r="A33" s="30"/>
      <c r="B33" s="30">
        <v>50</v>
      </c>
      <c r="C33" s="30"/>
      <c r="D33" s="30" t="s">
        <v>317</v>
      </c>
      <c r="E33" s="8">
        <v>30</v>
      </c>
      <c r="F33" s="5">
        <f t="shared" si="2"/>
        <v>1.5</v>
      </c>
      <c r="G33" s="1"/>
      <c r="H33" s="1"/>
      <c r="I33" s="1"/>
    </row>
    <row r="34" spans="1:9">
      <c r="A34" s="30"/>
      <c r="B34" s="30">
        <v>50</v>
      </c>
      <c r="C34" s="30"/>
      <c r="D34" s="30" t="s">
        <v>309</v>
      </c>
      <c r="E34" s="8">
        <v>20</v>
      </c>
      <c r="F34" s="5">
        <f t="shared" si="2"/>
        <v>1</v>
      </c>
      <c r="G34" s="1" t="s">
        <v>16</v>
      </c>
      <c r="H34" s="1"/>
      <c r="I34" s="1"/>
    </row>
    <row r="35" spans="1:9">
      <c r="A35" s="1"/>
      <c r="B35" s="30">
        <v>50</v>
      </c>
      <c r="C35" s="30" t="s">
        <v>321</v>
      </c>
      <c r="D35" s="30" t="s">
        <v>321</v>
      </c>
      <c r="E35" s="8">
        <v>20</v>
      </c>
      <c r="F35" s="5">
        <f t="shared" si="2"/>
        <v>1</v>
      </c>
      <c r="G35" s="1"/>
      <c r="H35" s="1"/>
      <c r="I35" s="1"/>
    </row>
    <row r="36" spans="1:9">
      <c r="A36" s="1"/>
      <c r="B36" s="30">
        <v>50</v>
      </c>
      <c r="C36" s="29" t="s">
        <v>8</v>
      </c>
      <c r="D36" s="29" t="s">
        <v>8</v>
      </c>
      <c r="E36" s="8">
        <v>40</v>
      </c>
      <c r="F36" s="5">
        <f t="shared" si="2"/>
        <v>2</v>
      </c>
      <c r="G36" s="1"/>
      <c r="H36" s="1"/>
      <c r="I36" s="1"/>
    </row>
    <row r="37" spans="1:9">
      <c r="A37" s="1"/>
      <c r="B37" s="30">
        <v>50</v>
      </c>
      <c r="C37" s="29" t="s">
        <v>285</v>
      </c>
      <c r="D37" s="29" t="s">
        <v>285</v>
      </c>
      <c r="E37" s="8">
        <v>80</v>
      </c>
      <c r="F37" s="5">
        <f t="shared" si="2"/>
        <v>4</v>
      </c>
      <c r="G37" s="1" t="s">
        <v>286</v>
      </c>
      <c r="H37" s="1"/>
      <c r="I37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topLeftCell="A3" workbookViewId="0">
      <selection activeCell="F19" sqref="F19"/>
    </sheetView>
  </sheetViews>
  <sheetFormatPr defaultRowHeight="16.5"/>
  <cols>
    <col min="1" max="1" width="6.25" customWidth="1"/>
    <col min="2" max="2" width="5.5" customWidth="1"/>
    <col min="3" max="3" width="17" customWidth="1"/>
    <col min="4" max="4" width="16.125" customWidth="1"/>
    <col min="5" max="5" width="8.625" customWidth="1"/>
    <col min="6" max="6" width="8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1" t="s">
        <v>222</v>
      </c>
      <c r="B1" s="31"/>
      <c r="C1" s="31"/>
      <c r="D1" s="31"/>
      <c r="E1" s="31"/>
      <c r="F1" s="31"/>
      <c r="G1" s="31"/>
      <c r="H1" s="31"/>
      <c r="I1" s="31"/>
    </row>
    <row r="2" spans="1:9" ht="24" customHeight="1">
      <c r="A2" s="7" t="s">
        <v>0</v>
      </c>
      <c r="B2" s="7" t="s">
        <v>3</v>
      </c>
      <c r="C2" s="7" t="s">
        <v>4</v>
      </c>
      <c r="D2" s="7" t="s">
        <v>5</v>
      </c>
      <c r="E2" s="7" t="s">
        <v>17</v>
      </c>
      <c r="F2" s="7" t="s">
        <v>6</v>
      </c>
      <c r="G2" s="7" t="s">
        <v>7</v>
      </c>
      <c r="H2" s="7"/>
      <c r="I2" s="7"/>
    </row>
    <row r="3" spans="1:9">
      <c r="A3" s="3">
        <v>41913</v>
      </c>
      <c r="B3" s="7">
        <v>500</v>
      </c>
      <c r="C3" s="7" t="s">
        <v>48</v>
      </c>
      <c r="D3" s="7" t="s">
        <v>49</v>
      </c>
      <c r="E3" s="12">
        <v>6</v>
      </c>
      <c r="F3" s="5">
        <f>(B3*E3)/1000</f>
        <v>3</v>
      </c>
      <c r="G3" s="1"/>
      <c r="H3" s="1"/>
      <c r="I3" s="1"/>
    </row>
    <row r="4" spans="1:9">
      <c r="A4" s="7" t="s">
        <v>47</v>
      </c>
      <c r="B4" s="24">
        <v>500</v>
      </c>
      <c r="C4" s="7"/>
      <c r="D4" s="7" t="s">
        <v>50</v>
      </c>
      <c r="E4" s="12">
        <v>20</v>
      </c>
      <c r="F4" s="6">
        <f>(B4*E4)/1000</f>
        <v>10</v>
      </c>
      <c r="G4" s="1"/>
      <c r="H4" s="1"/>
      <c r="I4" s="1"/>
    </row>
    <row r="5" spans="1:9">
      <c r="A5" s="7" t="s">
        <v>36</v>
      </c>
      <c r="B5" s="24">
        <v>500</v>
      </c>
      <c r="C5" s="7"/>
      <c r="D5" s="7" t="s">
        <v>51</v>
      </c>
      <c r="E5" s="12">
        <v>2</v>
      </c>
      <c r="F5" s="6">
        <f t="shared" ref="F5:F20" si="0">(B5*E5)/1000</f>
        <v>1</v>
      </c>
      <c r="G5" s="1"/>
      <c r="H5" s="1"/>
      <c r="I5" s="1"/>
    </row>
    <row r="6" spans="1:9">
      <c r="A6" s="24"/>
      <c r="B6" s="24">
        <v>500</v>
      </c>
      <c r="C6" s="24"/>
      <c r="D6" s="24" t="s">
        <v>256</v>
      </c>
      <c r="E6" s="12">
        <v>2</v>
      </c>
      <c r="F6" s="6">
        <f t="shared" si="0"/>
        <v>1</v>
      </c>
      <c r="G6" s="1"/>
      <c r="H6" s="1"/>
      <c r="I6" s="1"/>
    </row>
    <row r="7" spans="1:9">
      <c r="A7" s="7"/>
      <c r="B7" s="24">
        <v>500</v>
      </c>
      <c r="C7" s="10" t="s">
        <v>255</v>
      </c>
      <c r="D7" s="24" t="s">
        <v>257</v>
      </c>
      <c r="E7" s="12">
        <v>100</v>
      </c>
      <c r="F7" s="6" t="s">
        <v>59</v>
      </c>
      <c r="G7" s="1"/>
      <c r="H7" s="1"/>
      <c r="I7" s="1"/>
    </row>
    <row r="8" spans="1:9">
      <c r="A8" s="1"/>
      <c r="B8" s="24">
        <v>500</v>
      </c>
      <c r="C8" s="7"/>
      <c r="D8" s="7" t="s">
        <v>52</v>
      </c>
      <c r="E8" s="12">
        <v>0</v>
      </c>
      <c r="F8" s="6">
        <f t="shared" si="0"/>
        <v>0</v>
      </c>
      <c r="G8" s="1"/>
      <c r="H8" s="1"/>
      <c r="I8" s="1"/>
    </row>
    <row r="9" spans="1:9">
      <c r="A9" s="1"/>
      <c r="B9" s="24">
        <v>500</v>
      </c>
      <c r="C9" s="15" t="s">
        <v>99</v>
      </c>
      <c r="D9" s="10" t="s">
        <v>100</v>
      </c>
      <c r="E9" s="12">
        <v>30</v>
      </c>
      <c r="F9" s="6">
        <f t="shared" si="0"/>
        <v>15</v>
      </c>
      <c r="G9" s="1"/>
      <c r="H9" s="1"/>
      <c r="I9" s="1"/>
    </row>
    <row r="10" spans="1:9">
      <c r="A10" s="1"/>
      <c r="B10" s="24">
        <v>500</v>
      </c>
      <c r="C10" s="7"/>
      <c r="D10" s="10" t="s">
        <v>101</v>
      </c>
      <c r="E10" s="12">
        <v>10</v>
      </c>
      <c r="F10" s="6">
        <f>(B13*E10)/1000</f>
        <v>5</v>
      </c>
      <c r="G10" s="1"/>
      <c r="H10" s="1"/>
      <c r="I10" s="1"/>
    </row>
    <row r="11" spans="1:9">
      <c r="A11" s="1"/>
      <c r="B11" s="24">
        <v>500</v>
      </c>
      <c r="C11" s="15"/>
      <c r="D11" s="10" t="s">
        <v>102</v>
      </c>
      <c r="E11" s="12">
        <v>10</v>
      </c>
      <c r="F11" s="6">
        <f>(B14*E11)/1000</f>
        <v>5</v>
      </c>
      <c r="G11" s="1"/>
      <c r="H11" s="1"/>
      <c r="I11" s="1"/>
    </row>
    <row r="12" spans="1:9">
      <c r="A12" s="1"/>
      <c r="B12" s="24">
        <v>500</v>
      </c>
      <c r="C12" s="15"/>
      <c r="D12" s="10" t="s">
        <v>103</v>
      </c>
      <c r="E12" s="12">
        <v>10</v>
      </c>
      <c r="F12" s="6">
        <f>(B15*E12)/1000</f>
        <v>5</v>
      </c>
      <c r="G12" s="1"/>
      <c r="H12" s="1"/>
      <c r="I12" s="1"/>
    </row>
    <row r="13" spans="1:9">
      <c r="A13" s="1"/>
      <c r="B13" s="24">
        <v>500</v>
      </c>
      <c r="C13" s="23" t="s">
        <v>234</v>
      </c>
      <c r="D13" s="7" t="s">
        <v>53</v>
      </c>
      <c r="E13" s="12">
        <v>20</v>
      </c>
      <c r="F13" s="6">
        <f>(B15*E13)/1000</f>
        <v>10</v>
      </c>
      <c r="G13" s="1"/>
      <c r="H13" s="1"/>
      <c r="I13" s="1"/>
    </row>
    <row r="14" spans="1:9">
      <c r="A14" s="1"/>
      <c r="B14" s="24">
        <v>500</v>
      </c>
      <c r="C14" s="7"/>
      <c r="D14" s="24" t="s">
        <v>258</v>
      </c>
      <c r="E14" s="12">
        <v>30</v>
      </c>
      <c r="F14" s="6">
        <f>(B14*E14)/1000</f>
        <v>15</v>
      </c>
      <c r="G14" s="1"/>
      <c r="H14" s="1"/>
      <c r="I14" s="1"/>
    </row>
    <row r="15" spans="1:9">
      <c r="A15" s="1"/>
      <c r="B15" s="24">
        <v>500</v>
      </c>
      <c r="C15" s="7"/>
      <c r="D15" s="7" t="s">
        <v>54</v>
      </c>
      <c r="E15" s="12">
        <v>40</v>
      </c>
      <c r="F15" s="6">
        <f t="shared" si="0"/>
        <v>20</v>
      </c>
      <c r="G15" s="1"/>
      <c r="H15" s="1"/>
      <c r="I15" s="1"/>
    </row>
    <row r="16" spans="1:9">
      <c r="A16" s="1"/>
      <c r="B16" s="24">
        <v>500</v>
      </c>
      <c r="C16" s="7"/>
      <c r="D16" s="7" t="s">
        <v>55</v>
      </c>
      <c r="E16" s="12">
        <v>10</v>
      </c>
      <c r="F16" s="6">
        <f t="shared" si="0"/>
        <v>5</v>
      </c>
      <c r="G16" s="1"/>
      <c r="H16" s="1"/>
      <c r="I16" s="1"/>
    </row>
    <row r="17" spans="1:9">
      <c r="A17" s="1"/>
      <c r="B17" s="24">
        <v>500</v>
      </c>
      <c r="C17" s="7"/>
      <c r="D17" s="7" t="s">
        <v>56</v>
      </c>
      <c r="E17" s="12">
        <v>20</v>
      </c>
      <c r="F17" s="6">
        <f t="shared" si="0"/>
        <v>10</v>
      </c>
      <c r="G17" s="1" t="s">
        <v>259</v>
      </c>
      <c r="H17" s="1"/>
      <c r="I17" s="1"/>
    </row>
    <row r="18" spans="1:9">
      <c r="A18" s="1"/>
      <c r="B18" s="24">
        <v>500</v>
      </c>
      <c r="C18" s="24"/>
      <c r="D18" s="24" t="s">
        <v>260</v>
      </c>
      <c r="E18" s="12">
        <v>20</v>
      </c>
      <c r="F18" s="6">
        <f t="shared" si="0"/>
        <v>10</v>
      </c>
      <c r="G18" s="1"/>
      <c r="H18" s="1"/>
      <c r="I18" s="1"/>
    </row>
    <row r="19" spans="1:9">
      <c r="A19" s="1"/>
      <c r="B19" s="24">
        <v>500</v>
      </c>
      <c r="C19" s="7"/>
      <c r="D19" s="26" t="s">
        <v>261</v>
      </c>
      <c r="E19" s="12">
        <v>30</v>
      </c>
      <c r="F19" s="6">
        <f t="shared" si="0"/>
        <v>15</v>
      </c>
      <c r="G19" s="1"/>
      <c r="H19" s="1"/>
      <c r="I19" s="1"/>
    </row>
    <row r="20" spans="1:9">
      <c r="A20" s="1"/>
      <c r="B20" s="24">
        <v>500</v>
      </c>
      <c r="C20" s="7" t="s">
        <v>57</v>
      </c>
      <c r="D20" s="7" t="s">
        <v>58</v>
      </c>
      <c r="E20" s="12">
        <v>40</v>
      </c>
      <c r="F20" s="6">
        <f t="shared" si="0"/>
        <v>20</v>
      </c>
      <c r="G20" s="1"/>
      <c r="H20" s="1"/>
      <c r="I20" s="1"/>
    </row>
    <row r="21" spans="1:9">
      <c r="A21" s="2"/>
      <c r="B21" s="2"/>
      <c r="C21" s="2"/>
      <c r="D21" s="2"/>
      <c r="E21" s="14"/>
      <c r="F21" s="2"/>
      <c r="G21" s="2"/>
      <c r="H21" s="1"/>
      <c r="I21" s="1"/>
    </row>
    <row r="22" spans="1:9">
      <c r="A22" s="3">
        <v>41914</v>
      </c>
      <c r="B22" s="7">
        <v>250</v>
      </c>
      <c r="C22" s="7" t="s">
        <v>61</v>
      </c>
      <c r="D22" s="7" t="s">
        <v>62</v>
      </c>
      <c r="E22" s="12">
        <v>2</v>
      </c>
      <c r="F22" s="5">
        <f>(B22*E22)/1000</f>
        <v>0.5</v>
      </c>
      <c r="G22" s="1"/>
      <c r="H22" s="1"/>
      <c r="I22" s="1"/>
    </row>
    <row r="23" spans="1:9">
      <c r="A23" s="7" t="s">
        <v>60</v>
      </c>
      <c r="B23" s="22">
        <v>250</v>
      </c>
      <c r="C23" s="7"/>
      <c r="D23" s="7" t="s">
        <v>50</v>
      </c>
      <c r="E23" s="12">
        <v>50</v>
      </c>
      <c r="F23" s="5">
        <f t="shared" ref="F23:F30" si="1">(B23*E23)/1000</f>
        <v>12.5</v>
      </c>
      <c r="G23" s="1"/>
      <c r="H23" s="1"/>
      <c r="I23" s="1"/>
    </row>
    <row r="24" spans="1:9">
      <c r="A24" s="7" t="s">
        <v>41</v>
      </c>
      <c r="B24" s="22">
        <v>250</v>
      </c>
      <c r="C24" s="9" t="s">
        <v>92</v>
      </c>
      <c r="D24" s="9" t="s">
        <v>92</v>
      </c>
      <c r="E24" s="12">
        <v>100</v>
      </c>
      <c r="F24" s="5">
        <f t="shared" si="1"/>
        <v>25</v>
      </c>
      <c r="G24" s="1"/>
      <c r="H24" s="1"/>
      <c r="I24" s="1"/>
    </row>
    <row r="25" spans="1:9">
      <c r="A25" s="7"/>
      <c r="B25" s="22">
        <v>250</v>
      </c>
      <c r="C25" s="7"/>
      <c r="D25" s="7" t="s">
        <v>63</v>
      </c>
      <c r="E25" s="12">
        <v>10</v>
      </c>
      <c r="F25" s="6" t="s">
        <v>65</v>
      </c>
      <c r="G25" s="1"/>
      <c r="H25" s="1"/>
      <c r="I25" s="1"/>
    </row>
    <row r="26" spans="1:9">
      <c r="A26" s="1"/>
      <c r="B26" s="22">
        <v>250</v>
      </c>
      <c r="C26" s="9" t="s">
        <v>67</v>
      </c>
      <c r="D26" s="9" t="s">
        <v>68</v>
      </c>
      <c r="E26" s="12">
        <v>45</v>
      </c>
      <c r="F26" s="5">
        <f t="shared" si="1"/>
        <v>11.25</v>
      </c>
      <c r="G26" s="1"/>
      <c r="H26" s="1"/>
      <c r="I26" s="1"/>
    </row>
    <row r="27" spans="1:9">
      <c r="A27" s="1"/>
      <c r="B27" s="22">
        <v>250</v>
      </c>
      <c r="C27" s="9"/>
      <c r="D27" s="9" t="s">
        <v>93</v>
      </c>
      <c r="E27" s="12">
        <v>15</v>
      </c>
      <c r="F27" s="5">
        <f t="shared" si="1"/>
        <v>3.75</v>
      </c>
      <c r="G27" s="1"/>
      <c r="H27" s="1"/>
      <c r="I27" s="1"/>
    </row>
    <row r="28" spans="1:9">
      <c r="A28" s="1"/>
      <c r="B28" s="22">
        <v>250</v>
      </c>
      <c r="C28" s="9"/>
      <c r="D28" s="9" t="s">
        <v>94</v>
      </c>
      <c r="E28" s="12">
        <v>1</v>
      </c>
      <c r="F28" s="5">
        <f t="shared" si="1"/>
        <v>0.25</v>
      </c>
      <c r="G28" s="1"/>
      <c r="H28" s="1"/>
      <c r="I28" s="1"/>
    </row>
    <row r="29" spans="1:9">
      <c r="A29" s="1"/>
      <c r="B29" s="22">
        <v>250</v>
      </c>
      <c r="C29" s="9"/>
      <c r="D29" s="9" t="s">
        <v>95</v>
      </c>
      <c r="E29" s="12">
        <v>2</v>
      </c>
      <c r="F29" s="5">
        <f t="shared" si="1"/>
        <v>0.5</v>
      </c>
      <c r="G29" s="1"/>
      <c r="H29" s="1"/>
      <c r="I29" s="1"/>
    </row>
    <row r="30" spans="1:9">
      <c r="A30" s="1"/>
      <c r="B30" s="22">
        <v>250</v>
      </c>
      <c r="C30" s="7" t="s">
        <v>64</v>
      </c>
      <c r="D30" s="7" t="s">
        <v>64</v>
      </c>
      <c r="E30" s="12">
        <v>40</v>
      </c>
      <c r="F30" s="5">
        <f t="shared" si="1"/>
        <v>10</v>
      </c>
      <c r="G30" s="1"/>
      <c r="H30" s="1"/>
      <c r="I30" s="1"/>
    </row>
    <row r="31" spans="1:9">
      <c r="A31" s="2"/>
      <c r="B31" s="2"/>
      <c r="C31" s="2"/>
      <c r="D31" s="2"/>
      <c r="E31" s="14"/>
      <c r="F31" s="2"/>
      <c r="G31" s="2"/>
      <c r="H31" s="1"/>
      <c r="I31" s="1"/>
    </row>
    <row r="32" spans="1:9">
      <c r="A32" s="3">
        <v>41914</v>
      </c>
      <c r="B32" s="7">
        <v>480</v>
      </c>
      <c r="C32" s="9" t="s">
        <v>96</v>
      </c>
      <c r="D32" s="9" t="s">
        <v>97</v>
      </c>
      <c r="E32" s="12">
        <v>2</v>
      </c>
      <c r="F32" s="5">
        <f>(B32*E32)/1000</f>
        <v>0.96</v>
      </c>
      <c r="G32" s="1"/>
      <c r="H32" s="1"/>
      <c r="I32" s="1"/>
    </row>
    <row r="33" spans="1:9">
      <c r="A33" s="7" t="s">
        <v>60</v>
      </c>
      <c r="B33" s="22">
        <v>480</v>
      </c>
      <c r="C33" s="23" t="s">
        <v>235</v>
      </c>
      <c r="D33" s="23" t="s">
        <v>236</v>
      </c>
      <c r="E33" s="12">
        <v>20</v>
      </c>
      <c r="F33" s="5">
        <f t="shared" ref="F33:F39" si="2">(B33*E33)/1000</f>
        <v>9.6</v>
      </c>
      <c r="G33" s="1"/>
      <c r="H33" s="1"/>
      <c r="I33" s="1"/>
    </row>
    <row r="34" spans="1:9">
      <c r="A34" s="7" t="s">
        <v>45</v>
      </c>
      <c r="B34" s="22">
        <v>480</v>
      </c>
      <c r="C34" s="7"/>
      <c r="D34" s="23" t="s">
        <v>238</v>
      </c>
      <c r="E34" s="12">
        <v>30</v>
      </c>
      <c r="F34" s="5">
        <f t="shared" si="2"/>
        <v>14.4</v>
      </c>
      <c r="G34" s="1" t="s">
        <v>69</v>
      </c>
      <c r="H34" s="1"/>
      <c r="I34" s="1"/>
    </row>
    <row r="35" spans="1:9">
      <c r="A35" s="1"/>
      <c r="B35" s="22">
        <v>480</v>
      </c>
      <c r="C35" s="7"/>
      <c r="D35" s="23" t="s">
        <v>147</v>
      </c>
      <c r="E35" s="12">
        <v>10</v>
      </c>
      <c r="F35" s="5">
        <f t="shared" si="2"/>
        <v>4.8</v>
      </c>
      <c r="G35" s="1"/>
      <c r="H35" s="1"/>
      <c r="I35" s="1"/>
    </row>
    <row r="36" spans="1:9">
      <c r="A36" s="1"/>
      <c r="B36" s="22">
        <v>480</v>
      </c>
      <c r="C36" s="21"/>
      <c r="D36" s="23" t="s">
        <v>237</v>
      </c>
      <c r="E36" s="12">
        <v>5</v>
      </c>
      <c r="F36" s="5">
        <f t="shared" si="2"/>
        <v>2.4</v>
      </c>
      <c r="G36" s="1"/>
      <c r="H36" s="1"/>
      <c r="I36" s="1"/>
    </row>
    <row r="37" spans="1:9">
      <c r="A37" s="1"/>
      <c r="B37" s="22">
        <v>480</v>
      </c>
      <c r="C37" s="23" t="s">
        <v>239</v>
      </c>
      <c r="D37" s="23" t="s">
        <v>240</v>
      </c>
      <c r="E37" s="12">
        <v>100</v>
      </c>
      <c r="F37" s="5">
        <f t="shared" si="2"/>
        <v>48</v>
      </c>
      <c r="G37" s="1"/>
      <c r="H37" s="1"/>
      <c r="I37" s="1"/>
    </row>
    <row r="38" spans="1:9">
      <c r="A38" s="1"/>
      <c r="B38" s="22">
        <v>480</v>
      </c>
      <c r="C38" s="23" t="s">
        <v>241</v>
      </c>
      <c r="D38" s="23" t="s">
        <v>25</v>
      </c>
      <c r="E38" s="12">
        <v>30</v>
      </c>
      <c r="F38" s="5">
        <f t="shared" si="2"/>
        <v>14.4</v>
      </c>
      <c r="G38" s="1"/>
      <c r="H38" s="1"/>
      <c r="I38" s="1"/>
    </row>
    <row r="39" spans="1:9">
      <c r="A39" s="1"/>
      <c r="B39" s="22">
        <v>480</v>
      </c>
      <c r="C39" s="9" t="s">
        <v>26</v>
      </c>
      <c r="D39" s="9" t="s">
        <v>98</v>
      </c>
      <c r="E39" s="12">
        <v>40</v>
      </c>
      <c r="F39" s="5">
        <f t="shared" si="2"/>
        <v>19.2</v>
      </c>
      <c r="G39" s="1"/>
      <c r="H39" s="1"/>
      <c r="I39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2"/>
  <sheetViews>
    <sheetView workbookViewId="0">
      <selection activeCell="E13" sqref="E13"/>
    </sheetView>
  </sheetViews>
  <sheetFormatPr defaultRowHeight="16.5"/>
  <cols>
    <col min="1" max="1" width="6" customWidth="1"/>
    <col min="2" max="2" width="5.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1" t="s">
        <v>223</v>
      </c>
      <c r="B1" s="31"/>
      <c r="C1" s="31"/>
      <c r="D1" s="31"/>
      <c r="E1" s="31"/>
      <c r="F1" s="31"/>
      <c r="G1" s="31"/>
      <c r="H1" s="31"/>
      <c r="I1" s="31"/>
    </row>
    <row r="2" spans="1:9" ht="24" customHeight="1">
      <c r="A2" s="7" t="s">
        <v>0</v>
      </c>
      <c r="B2" s="7" t="s">
        <v>3</v>
      </c>
      <c r="C2" s="7" t="s">
        <v>4</v>
      </c>
      <c r="D2" s="7" t="s">
        <v>5</v>
      </c>
      <c r="E2" s="7" t="s">
        <v>17</v>
      </c>
      <c r="F2" s="7" t="s">
        <v>6</v>
      </c>
      <c r="G2" s="7" t="s">
        <v>7</v>
      </c>
      <c r="H2" s="7"/>
      <c r="I2" s="7"/>
    </row>
    <row r="3" spans="1:9">
      <c r="A3" s="3">
        <v>41914</v>
      </c>
      <c r="B3" s="7">
        <v>500</v>
      </c>
      <c r="C3" s="7" t="s">
        <v>104</v>
      </c>
      <c r="D3" s="7" t="s">
        <v>105</v>
      </c>
      <c r="E3" s="8">
        <v>2</v>
      </c>
      <c r="F3" s="5">
        <f>(B3*E3)/1000</f>
        <v>1</v>
      </c>
      <c r="G3" s="1"/>
      <c r="H3" s="1"/>
      <c r="I3" s="1"/>
    </row>
    <row r="4" spans="1:9">
      <c r="A4" s="7" t="s">
        <v>60</v>
      </c>
      <c r="B4" s="25">
        <v>500</v>
      </c>
      <c r="C4" s="7" t="s">
        <v>106</v>
      </c>
      <c r="D4" s="7" t="s">
        <v>107</v>
      </c>
      <c r="E4" s="8">
        <v>50</v>
      </c>
      <c r="F4" s="6">
        <f>(B4*E4)/1000</f>
        <v>25</v>
      </c>
      <c r="G4" s="1"/>
      <c r="H4" s="1"/>
      <c r="I4" s="1"/>
    </row>
    <row r="5" spans="1:9">
      <c r="A5" s="7" t="s">
        <v>36</v>
      </c>
      <c r="B5" s="25">
        <v>500</v>
      </c>
      <c r="C5" s="7"/>
      <c r="D5" s="7" t="s">
        <v>108</v>
      </c>
      <c r="E5" s="8">
        <v>6</v>
      </c>
      <c r="F5" s="6">
        <f t="shared" ref="F5:F14" si="0">(B5*E5)/1000</f>
        <v>3</v>
      </c>
      <c r="G5" s="1"/>
      <c r="H5" s="1"/>
      <c r="I5" s="1"/>
    </row>
    <row r="6" spans="1:9">
      <c r="A6" s="16"/>
      <c r="B6" s="25">
        <v>500</v>
      </c>
      <c r="C6" s="16"/>
      <c r="D6" s="16" t="s">
        <v>109</v>
      </c>
      <c r="E6" s="8">
        <v>2</v>
      </c>
      <c r="F6" s="6">
        <f t="shared" si="0"/>
        <v>1</v>
      </c>
      <c r="G6" s="1"/>
      <c r="H6" s="1"/>
      <c r="I6" s="1"/>
    </row>
    <row r="7" spans="1:9">
      <c r="A7" s="16"/>
      <c r="B7" s="25">
        <v>500</v>
      </c>
      <c r="C7" s="16"/>
      <c r="D7" s="16" t="s">
        <v>110</v>
      </c>
      <c r="E7" s="8">
        <v>2</v>
      </c>
      <c r="F7" s="6">
        <f t="shared" si="0"/>
        <v>1</v>
      </c>
      <c r="G7" s="1"/>
      <c r="H7" s="1"/>
      <c r="I7" s="1"/>
    </row>
    <row r="8" spans="1:9">
      <c r="A8" s="7"/>
      <c r="B8" s="25">
        <v>500</v>
      </c>
      <c r="C8" s="18" t="s">
        <v>111</v>
      </c>
      <c r="D8" s="7" t="s">
        <v>112</v>
      </c>
      <c r="E8" s="8">
        <v>170</v>
      </c>
      <c r="F8" s="6">
        <f t="shared" si="0"/>
        <v>85</v>
      </c>
      <c r="G8" s="1"/>
      <c r="H8" s="1"/>
      <c r="I8" s="1"/>
    </row>
    <row r="9" spans="1:9">
      <c r="A9" s="1"/>
      <c r="B9" s="25">
        <v>500</v>
      </c>
      <c r="C9" s="7"/>
      <c r="D9" s="23" t="s">
        <v>20</v>
      </c>
      <c r="E9" s="8">
        <v>50</v>
      </c>
      <c r="F9" s="6">
        <f t="shared" si="0"/>
        <v>25</v>
      </c>
      <c r="G9" s="1"/>
      <c r="H9" s="1"/>
      <c r="I9" s="1"/>
    </row>
    <row r="10" spans="1:9">
      <c r="A10" s="1"/>
      <c r="B10" s="25">
        <v>500</v>
      </c>
      <c r="C10" s="7"/>
      <c r="D10" s="7" t="s">
        <v>114</v>
      </c>
      <c r="E10" s="8">
        <v>20</v>
      </c>
      <c r="F10" s="6">
        <f>(B11*E10)/1000</f>
        <v>10</v>
      </c>
      <c r="G10" s="1" t="s">
        <v>233</v>
      </c>
      <c r="H10" s="1"/>
      <c r="I10" s="1"/>
    </row>
    <row r="11" spans="1:9">
      <c r="A11" s="1"/>
      <c r="B11" s="25">
        <v>500</v>
      </c>
      <c r="C11" s="7" t="s">
        <v>115</v>
      </c>
      <c r="D11" s="7" t="s">
        <v>116</v>
      </c>
      <c r="E11" s="8">
        <v>10</v>
      </c>
      <c r="F11" s="6">
        <f>(B13*E11)/1000</f>
        <v>5</v>
      </c>
      <c r="G11" s="1"/>
      <c r="H11" s="1"/>
      <c r="I11" s="1"/>
    </row>
    <row r="12" spans="1:9">
      <c r="A12" s="1"/>
      <c r="B12" s="25">
        <v>500</v>
      </c>
      <c r="C12" s="7"/>
      <c r="D12" s="7" t="s">
        <v>117</v>
      </c>
      <c r="E12" s="8">
        <v>30</v>
      </c>
      <c r="F12" s="6">
        <f>(B12*E12)/1000</f>
        <v>15</v>
      </c>
      <c r="G12" s="1"/>
      <c r="H12" s="1"/>
      <c r="I12" s="1"/>
    </row>
    <row r="13" spans="1:9">
      <c r="A13" s="1"/>
      <c r="B13" s="25">
        <v>500</v>
      </c>
      <c r="C13" s="7"/>
      <c r="D13" s="7" t="s">
        <v>114</v>
      </c>
      <c r="E13" s="8">
        <v>10</v>
      </c>
      <c r="F13" s="6">
        <f t="shared" si="0"/>
        <v>5</v>
      </c>
      <c r="G13" s="1"/>
      <c r="H13" s="1"/>
      <c r="I13" s="1"/>
    </row>
    <row r="14" spans="1:9">
      <c r="A14" s="1"/>
      <c r="B14" s="25">
        <v>500</v>
      </c>
      <c r="C14" s="23" t="s">
        <v>8</v>
      </c>
      <c r="D14" s="23" t="s">
        <v>8</v>
      </c>
      <c r="E14" s="8">
        <v>40</v>
      </c>
      <c r="F14" s="6">
        <f t="shared" si="0"/>
        <v>20</v>
      </c>
      <c r="G14" s="1"/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41915</v>
      </c>
      <c r="B16" s="7">
        <v>150</v>
      </c>
      <c r="C16" s="7" t="s">
        <v>119</v>
      </c>
      <c r="D16" s="7" t="s">
        <v>120</v>
      </c>
      <c r="E16" s="8">
        <v>25</v>
      </c>
      <c r="F16" s="5">
        <f>(B16*E16)/1000</f>
        <v>3.75</v>
      </c>
      <c r="G16" s="1"/>
      <c r="H16" s="1"/>
      <c r="I16" s="1"/>
    </row>
    <row r="17" spans="1:9">
      <c r="A17" s="7" t="s">
        <v>118</v>
      </c>
      <c r="B17" s="23">
        <v>150</v>
      </c>
      <c r="C17" s="7"/>
      <c r="D17" s="7" t="s">
        <v>114</v>
      </c>
      <c r="E17" s="8">
        <v>10</v>
      </c>
      <c r="F17" s="5">
        <f t="shared" ref="F17:F29" si="1">(B17*E17)/1000</f>
        <v>1.5</v>
      </c>
      <c r="G17" s="1"/>
      <c r="H17" s="1"/>
      <c r="I17" s="1"/>
    </row>
    <row r="18" spans="1:9">
      <c r="A18" s="7" t="s">
        <v>41</v>
      </c>
      <c r="B18" s="23">
        <v>150</v>
      </c>
      <c r="C18" s="7"/>
      <c r="D18" s="7" t="s">
        <v>121</v>
      </c>
      <c r="E18" s="8">
        <v>2</v>
      </c>
      <c r="F18" s="5">
        <f t="shared" si="1"/>
        <v>0.3</v>
      </c>
      <c r="G18" s="1"/>
      <c r="H18" s="1"/>
      <c r="I18" s="1"/>
    </row>
    <row r="19" spans="1:9">
      <c r="A19" s="7"/>
      <c r="B19" s="23">
        <v>150</v>
      </c>
      <c r="C19" s="7" t="s">
        <v>122</v>
      </c>
      <c r="D19" s="7" t="s">
        <v>215</v>
      </c>
      <c r="E19" s="8">
        <v>100</v>
      </c>
      <c r="F19" s="5">
        <f t="shared" si="1"/>
        <v>15</v>
      </c>
      <c r="G19" s="1"/>
      <c r="H19" s="1"/>
      <c r="I19" s="1"/>
    </row>
    <row r="20" spans="1:9">
      <c r="A20" s="1"/>
      <c r="B20" s="23">
        <v>150</v>
      </c>
      <c r="C20" s="7"/>
      <c r="D20" s="7" t="s">
        <v>114</v>
      </c>
      <c r="E20" s="8">
        <v>20</v>
      </c>
      <c r="F20" s="5">
        <f t="shared" si="1"/>
        <v>3</v>
      </c>
      <c r="G20" s="1" t="s">
        <v>123</v>
      </c>
      <c r="H20" s="1"/>
      <c r="I20" s="1"/>
    </row>
    <row r="21" spans="1:9">
      <c r="A21" s="1"/>
      <c r="B21" s="23">
        <v>150</v>
      </c>
      <c r="C21" s="7"/>
      <c r="D21" s="7" t="s">
        <v>113</v>
      </c>
      <c r="E21" s="8">
        <v>20</v>
      </c>
      <c r="F21" s="5">
        <f t="shared" si="1"/>
        <v>3</v>
      </c>
      <c r="G21" s="1"/>
      <c r="H21" s="1"/>
      <c r="I21" s="1"/>
    </row>
    <row r="22" spans="1:9">
      <c r="A22" s="1"/>
      <c r="B22" s="23">
        <v>150</v>
      </c>
      <c r="C22" s="16"/>
      <c r="D22" s="16" t="s">
        <v>216</v>
      </c>
      <c r="E22" s="8">
        <v>5</v>
      </c>
      <c r="F22" s="5">
        <f t="shared" si="1"/>
        <v>0.75</v>
      </c>
      <c r="G22" s="1"/>
      <c r="H22" s="1"/>
      <c r="I22" s="1"/>
    </row>
    <row r="23" spans="1:9">
      <c r="A23" s="1"/>
      <c r="B23" s="23">
        <v>150</v>
      </c>
      <c r="C23" s="7"/>
      <c r="D23" s="7" t="s">
        <v>66</v>
      </c>
      <c r="E23" s="8">
        <v>5</v>
      </c>
      <c r="F23" s="5">
        <f t="shared" si="1"/>
        <v>0.75</v>
      </c>
      <c r="G23" s="1"/>
      <c r="H23" s="1"/>
      <c r="I23" s="1"/>
    </row>
    <row r="24" spans="1:9">
      <c r="A24" s="1"/>
      <c r="B24" s="23">
        <v>150</v>
      </c>
      <c r="C24" s="16" t="s">
        <v>124</v>
      </c>
      <c r="D24" s="16" t="s">
        <v>125</v>
      </c>
      <c r="E24" s="8">
        <v>50</v>
      </c>
      <c r="F24" s="5">
        <f t="shared" si="1"/>
        <v>7.5</v>
      </c>
      <c r="G24" s="1"/>
      <c r="H24" s="1"/>
      <c r="I24" s="1"/>
    </row>
    <row r="25" spans="1:9">
      <c r="A25" s="1"/>
      <c r="B25" s="23">
        <v>150</v>
      </c>
      <c r="C25" s="16"/>
      <c r="D25" s="16" t="s">
        <v>126</v>
      </c>
      <c r="E25" s="8">
        <v>10</v>
      </c>
      <c r="F25" s="5">
        <f t="shared" si="1"/>
        <v>1.5</v>
      </c>
      <c r="G25" s="1"/>
      <c r="H25" s="1"/>
      <c r="I25" s="1"/>
    </row>
    <row r="26" spans="1:9">
      <c r="A26" s="1"/>
      <c r="B26" s="23">
        <v>150</v>
      </c>
      <c r="C26" s="16"/>
      <c r="D26" s="16" t="s">
        <v>127</v>
      </c>
      <c r="E26" s="8">
        <v>10</v>
      </c>
      <c r="F26" s="5">
        <f t="shared" si="1"/>
        <v>1.5</v>
      </c>
      <c r="G26" s="1"/>
      <c r="H26" s="1"/>
      <c r="I26" s="1"/>
    </row>
    <row r="27" spans="1:9">
      <c r="A27" s="1"/>
      <c r="B27" s="23">
        <v>150</v>
      </c>
      <c r="C27" s="16"/>
      <c r="D27" s="16" t="s">
        <v>128</v>
      </c>
      <c r="E27" s="8">
        <v>5</v>
      </c>
      <c r="F27" s="5">
        <f t="shared" si="1"/>
        <v>0.75</v>
      </c>
      <c r="G27" s="1"/>
      <c r="H27" s="1"/>
      <c r="I27" s="1"/>
    </row>
    <row r="28" spans="1:9">
      <c r="A28" s="1"/>
      <c r="B28" s="23">
        <v>150</v>
      </c>
      <c r="C28" s="16"/>
      <c r="D28" s="16" t="s">
        <v>132</v>
      </c>
      <c r="E28" s="8">
        <v>2</v>
      </c>
      <c r="F28" s="5">
        <f t="shared" si="1"/>
        <v>0.3</v>
      </c>
      <c r="G28" s="1"/>
      <c r="H28" s="1"/>
      <c r="I28" s="1"/>
    </row>
    <row r="29" spans="1:9">
      <c r="A29" s="1"/>
      <c r="B29" s="23">
        <v>150</v>
      </c>
      <c r="C29" s="16" t="s">
        <v>129</v>
      </c>
      <c r="D29" s="16" t="s">
        <v>129</v>
      </c>
      <c r="E29" s="8">
        <v>40</v>
      </c>
      <c r="F29" s="5">
        <f t="shared" si="1"/>
        <v>6</v>
      </c>
      <c r="G29" s="1"/>
      <c r="H29" s="1"/>
      <c r="I29" s="1"/>
    </row>
    <row r="30" spans="1:9">
      <c r="A30" s="2"/>
      <c r="B30" s="2"/>
      <c r="C30" s="2"/>
      <c r="D30" s="2"/>
      <c r="E30" s="2"/>
      <c r="F30" s="2"/>
      <c r="G30" s="2"/>
      <c r="H30" s="1"/>
      <c r="I30" s="1"/>
    </row>
    <row r="31" spans="1:9">
      <c r="A31" s="3">
        <v>41915</v>
      </c>
      <c r="B31" s="7">
        <v>250</v>
      </c>
      <c r="C31" s="7" t="s">
        <v>130</v>
      </c>
      <c r="D31" s="7" t="s">
        <v>133</v>
      </c>
      <c r="E31" s="8">
        <v>40</v>
      </c>
      <c r="F31" s="5">
        <f>(B31*E31)/1000</f>
        <v>10</v>
      </c>
      <c r="G31" s="1"/>
      <c r="H31" s="1"/>
      <c r="I31" s="1"/>
    </row>
    <row r="32" spans="1:9">
      <c r="A32" s="7" t="s">
        <v>118</v>
      </c>
      <c r="B32" s="23">
        <v>250</v>
      </c>
      <c r="C32" s="7" t="s">
        <v>131</v>
      </c>
      <c r="D32" s="7" t="s">
        <v>136</v>
      </c>
      <c r="E32" s="8">
        <v>30</v>
      </c>
      <c r="F32" s="5">
        <f t="shared" ref="F32:F42" si="2">(B32*E32)/1000</f>
        <v>7.5</v>
      </c>
      <c r="G32" s="1"/>
      <c r="H32" s="1"/>
      <c r="I32" s="1"/>
    </row>
    <row r="33" spans="1:9">
      <c r="A33" s="7" t="s">
        <v>45</v>
      </c>
      <c r="B33" s="23">
        <v>250</v>
      </c>
      <c r="D33" s="23" t="s">
        <v>23</v>
      </c>
      <c r="E33" s="8">
        <v>50</v>
      </c>
      <c r="F33" s="5">
        <f t="shared" si="2"/>
        <v>12.5</v>
      </c>
      <c r="G33" s="1"/>
      <c r="H33" s="1"/>
      <c r="I33" s="1"/>
    </row>
    <row r="34" spans="1:9">
      <c r="A34" s="1"/>
      <c r="B34" s="23">
        <v>250</v>
      </c>
      <c r="C34" s="7"/>
      <c r="D34" s="7" t="s">
        <v>134</v>
      </c>
      <c r="E34" s="8">
        <v>10</v>
      </c>
      <c r="F34" s="5">
        <f t="shared" si="2"/>
        <v>2.5</v>
      </c>
      <c r="G34" s="1"/>
      <c r="H34" s="1"/>
      <c r="I34" s="1"/>
    </row>
    <row r="35" spans="1:9">
      <c r="A35" s="1"/>
      <c r="B35" s="23">
        <v>250</v>
      </c>
      <c r="C35" s="23"/>
      <c r="D35" s="23" t="s">
        <v>242</v>
      </c>
      <c r="E35" s="8">
        <v>10</v>
      </c>
      <c r="F35" s="5">
        <f t="shared" si="2"/>
        <v>2.5</v>
      </c>
      <c r="G35" s="1"/>
      <c r="H35" s="1"/>
      <c r="I35" s="1"/>
    </row>
    <row r="36" spans="1:9">
      <c r="A36" s="1"/>
      <c r="B36" s="23">
        <v>250</v>
      </c>
      <c r="C36" s="7"/>
      <c r="D36" s="7" t="s">
        <v>138</v>
      </c>
      <c r="E36" s="8">
        <v>60</v>
      </c>
      <c r="F36" s="5">
        <f t="shared" si="2"/>
        <v>15</v>
      </c>
      <c r="G36" s="1"/>
      <c r="H36" s="1"/>
      <c r="I36" s="1"/>
    </row>
    <row r="37" spans="1:9">
      <c r="A37" s="1"/>
      <c r="B37" s="23">
        <v>250</v>
      </c>
      <c r="C37" s="7" t="s">
        <v>139</v>
      </c>
      <c r="D37" s="7" t="s">
        <v>137</v>
      </c>
      <c r="E37" s="8">
        <v>5</v>
      </c>
      <c r="F37" s="5">
        <f t="shared" si="2"/>
        <v>1.25</v>
      </c>
      <c r="G37" s="1"/>
      <c r="H37" s="1"/>
      <c r="I37" s="1"/>
    </row>
    <row r="38" spans="1:9">
      <c r="A38" s="1"/>
      <c r="B38" s="23">
        <v>250</v>
      </c>
      <c r="C38" s="7" t="s">
        <v>140</v>
      </c>
      <c r="D38" s="7" t="s">
        <v>141</v>
      </c>
      <c r="E38" s="8">
        <v>20</v>
      </c>
      <c r="F38" s="5">
        <f t="shared" si="2"/>
        <v>5</v>
      </c>
      <c r="G38" s="1" t="s">
        <v>146</v>
      </c>
      <c r="H38" s="1"/>
      <c r="I38" s="1"/>
    </row>
    <row r="39" spans="1:9">
      <c r="A39" s="1"/>
      <c r="B39" s="23">
        <v>250</v>
      </c>
      <c r="C39" s="7" t="s">
        <v>142</v>
      </c>
      <c r="D39" s="7" t="s">
        <v>143</v>
      </c>
      <c r="E39" s="8">
        <v>60</v>
      </c>
      <c r="F39" s="5">
        <f t="shared" si="2"/>
        <v>15</v>
      </c>
      <c r="G39" s="1"/>
      <c r="H39" s="1"/>
      <c r="I39" s="1"/>
    </row>
    <row r="40" spans="1:9">
      <c r="A40" s="1"/>
      <c r="B40" s="23">
        <v>250</v>
      </c>
      <c r="C40" s="7"/>
      <c r="D40" s="7" t="s">
        <v>144</v>
      </c>
      <c r="E40" s="8">
        <v>0</v>
      </c>
      <c r="F40" s="5">
        <f t="shared" si="2"/>
        <v>0</v>
      </c>
      <c r="G40" s="1"/>
      <c r="H40" s="1"/>
      <c r="I40" s="1"/>
    </row>
    <row r="41" spans="1:9">
      <c r="A41" s="1"/>
      <c r="B41" s="23">
        <v>250</v>
      </c>
      <c r="C41" s="7"/>
      <c r="D41" s="7" t="s">
        <v>145</v>
      </c>
      <c r="E41" s="8">
        <v>30</v>
      </c>
      <c r="F41" s="5">
        <f t="shared" si="2"/>
        <v>7.5</v>
      </c>
      <c r="G41" s="1"/>
      <c r="H41" s="1"/>
      <c r="I41" s="1"/>
    </row>
    <row r="42" spans="1:9">
      <c r="A42" s="1"/>
      <c r="B42" s="23">
        <v>250</v>
      </c>
      <c r="C42" s="7" t="s">
        <v>57</v>
      </c>
      <c r="D42" s="7" t="s">
        <v>57</v>
      </c>
      <c r="E42" s="8">
        <v>40</v>
      </c>
      <c r="F42" s="5">
        <f t="shared" si="2"/>
        <v>10</v>
      </c>
      <c r="G42" s="1"/>
      <c r="H42" s="1"/>
      <c r="I42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1"/>
  <sheetViews>
    <sheetView topLeftCell="A3" workbookViewId="0">
      <selection activeCell="G21" sqref="G21"/>
    </sheetView>
  </sheetViews>
  <sheetFormatPr defaultRowHeight="16.5"/>
  <cols>
    <col min="1" max="1" width="5.125" customWidth="1"/>
    <col min="2" max="2" width="6.37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1" t="s">
        <v>224</v>
      </c>
      <c r="B1" s="31"/>
      <c r="C1" s="31"/>
      <c r="D1" s="31"/>
      <c r="E1" s="31"/>
      <c r="F1" s="31"/>
      <c r="G1" s="31"/>
      <c r="H1" s="31"/>
      <c r="I1" s="31"/>
    </row>
    <row r="2" spans="1:9" ht="24" customHeight="1">
      <c r="A2" s="16" t="s">
        <v>0</v>
      </c>
      <c r="B2" s="16" t="s">
        <v>3</v>
      </c>
      <c r="C2" s="16" t="s">
        <v>4</v>
      </c>
      <c r="D2" s="16" t="s">
        <v>5</v>
      </c>
      <c r="E2" s="16" t="s">
        <v>17</v>
      </c>
      <c r="F2" s="16" t="s">
        <v>6</v>
      </c>
      <c r="G2" s="16" t="s">
        <v>7</v>
      </c>
      <c r="H2" s="16"/>
      <c r="I2" s="16"/>
    </row>
    <row r="3" spans="1:9">
      <c r="A3" s="3">
        <v>41915</v>
      </c>
      <c r="B3" s="16">
        <v>250</v>
      </c>
      <c r="C3" s="23" t="s">
        <v>83</v>
      </c>
      <c r="D3" s="23" t="s">
        <v>84</v>
      </c>
      <c r="E3" s="8">
        <v>2</v>
      </c>
      <c r="F3" s="5">
        <f>(B3*E3)/1000</f>
        <v>0.5</v>
      </c>
      <c r="G3" s="1"/>
      <c r="H3" s="1"/>
      <c r="I3" s="1"/>
    </row>
    <row r="4" spans="1:9">
      <c r="A4" s="16" t="s">
        <v>118</v>
      </c>
      <c r="B4" s="23">
        <v>250</v>
      </c>
      <c r="C4" s="23" t="s">
        <v>85</v>
      </c>
      <c r="D4" s="23" t="s">
        <v>86</v>
      </c>
      <c r="E4" s="8">
        <v>10</v>
      </c>
      <c r="F4" s="6">
        <f>(B4*E4)/1000</f>
        <v>2.5</v>
      </c>
      <c r="G4" s="1"/>
      <c r="H4" s="1"/>
      <c r="I4" s="1"/>
    </row>
    <row r="5" spans="1:9">
      <c r="A5" s="16" t="s">
        <v>36</v>
      </c>
      <c r="B5" s="23">
        <v>250</v>
      </c>
      <c r="C5" s="16"/>
      <c r="D5" s="23" t="s">
        <v>87</v>
      </c>
      <c r="E5" s="8">
        <v>25</v>
      </c>
      <c r="F5" s="6">
        <f t="shared" ref="F5:F14" si="0">(B5*E5)/1000</f>
        <v>6.25</v>
      </c>
      <c r="G5" s="1"/>
      <c r="H5" s="1"/>
      <c r="I5" s="1"/>
    </row>
    <row r="6" spans="1:9">
      <c r="A6" s="16"/>
      <c r="B6" s="23">
        <v>250</v>
      </c>
      <c r="C6" s="16"/>
      <c r="D6" s="23" t="s">
        <v>18</v>
      </c>
      <c r="E6" s="8">
        <v>10</v>
      </c>
      <c r="F6" s="6">
        <f t="shared" si="0"/>
        <v>2.5</v>
      </c>
      <c r="G6" s="1"/>
      <c r="H6" s="1"/>
      <c r="I6" s="1"/>
    </row>
    <row r="7" spans="1:9">
      <c r="A7" s="16"/>
      <c r="B7" s="23">
        <v>250</v>
      </c>
      <c r="C7" s="16"/>
      <c r="D7" s="23" t="s">
        <v>12</v>
      </c>
      <c r="E7" s="8">
        <v>20</v>
      </c>
      <c r="F7" s="6">
        <f t="shared" si="0"/>
        <v>5</v>
      </c>
      <c r="G7" s="1" t="s">
        <v>75</v>
      </c>
      <c r="H7" s="1"/>
      <c r="I7" s="1"/>
    </row>
    <row r="8" spans="1:9">
      <c r="A8" s="16"/>
      <c r="B8" s="23">
        <v>250</v>
      </c>
      <c r="C8" s="18"/>
      <c r="D8" s="23" t="s">
        <v>33</v>
      </c>
      <c r="E8" s="8">
        <v>0</v>
      </c>
      <c r="F8" s="6">
        <f t="shared" si="0"/>
        <v>0</v>
      </c>
      <c r="G8" s="1"/>
      <c r="H8" s="1"/>
      <c r="I8" s="1"/>
    </row>
    <row r="9" spans="1:9">
      <c r="A9" s="1"/>
      <c r="B9" s="23">
        <v>250</v>
      </c>
      <c r="C9" s="23" t="s">
        <v>88</v>
      </c>
      <c r="D9" s="23" t="s">
        <v>89</v>
      </c>
      <c r="E9" s="8">
        <v>150</v>
      </c>
      <c r="F9" s="6">
        <f t="shared" si="0"/>
        <v>37.5</v>
      </c>
      <c r="G9" s="1"/>
      <c r="H9" s="1"/>
      <c r="I9" s="1"/>
    </row>
    <row r="10" spans="1:9">
      <c r="A10" s="1"/>
      <c r="B10" s="23">
        <v>250</v>
      </c>
      <c r="C10" s="16"/>
      <c r="D10" s="23" t="s">
        <v>20</v>
      </c>
      <c r="E10" s="8">
        <v>60</v>
      </c>
      <c r="F10" s="6">
        <f t="shared" si="0"/>
        <v>15</v>
      </c>
      <c r="G10" s="1"/>
      <c r="H10" s="1"/>
      <c r="I10" s="1"/>
    </row>
    <row r="11" spans="1:9">
      <c r="A11" s="1"/>
      <c r="B11" s="23">
        <v>250</v>
      </c>
      <c r="C11" s="23" t="s">
        <v>243</v>
      </c>
      <c r="D11" s="23" t="s">
        <v>90</v>
      </c>
      <c r="E11" s="8">
        <v>2</v>
      </c>
      <c r="F11" s="6">
        <f>(B11*E11)/1000</f>
        <v>0.5</v>
      </c>
      <c r="G11" s="1"/>
      <c r="H11" s="1"/>
      <c r="I11" s="1"/>
    </row>
    <row r="12" spans="1:9">
      <c r="A12" s="1"/>
      <c r="B12" s="23">
        <v>250</v>
      </c>
      <c r="C12" s="23"/>
      <c r="D12" s="23" t="s">
        <v>244</v>
      </c>
      <c r="E12" s="8">
        <v>10</v>
      </c>
      <c r="F12" s="6">
        <f>(B12*E12)/1000</f>
        <v>2.5</v>
      </c>
      <c r="G12" s="1"/>
      <c r="H12" s="1"/>
      <c r="I12" s="1"/>
    </row>
    <row r="13" spans="1:9">
      <c r="A13" s="1"/>
      <c r="B13" s="23">
        <v>250</v>
      </c>
      <c r="C13" s="23"/>
      <c r="D13" s="23" t="s">
        <v>245</v>
      </c>
      <c r="E13" s="8">
        <v>10</v>
      </c>
      <c r="F13" s="6">
        <f>(B13*E13)/1000</f>
        <v>2.5</v>
      </c>
      <c r="G13" s="1"/>
      <c r="H13" s="1"/>
      <c r="I13" s="1"/>
    </row>
    <row r="14" spans="1:9">
      <c r="A14" s="1"/>
      <c r="B14" s="23">
        <v>250</v>
      </c>
      <c r="C14" s="20" t="s">
        <v>26</v>
      </c>
      <c r="D14" s="20" t="s">
        <v>26</v>
      </c>
      <c r="E14" s="8">
        <v>40</v>
      </c>
      <c r="F14" s="6">
        <f t="shared" si="0"/>
        <v>10</v>
      </c>
      <c r="G14" s="1"/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41916</v>
      </c>
      <c r="B16" s="16">
        <v>100</v>
      </c>
      <c r="C16" s="16" t="s">
        <v>149</v>
      </c>
      <c r="D16" s="16" t="s">
        <v>158</v>
      </c>
      <c r="E16" s="8">
        <v>30</v>
      </c>
      <c r="F16" s="5">
        <f>(B16*E16)/1000</f>
        <v>3</v>
      </c>
      <c r="G16" s="1"/>
      <c r="H16" s="1"/>
      <c r="I16" s="1"/>
    </row>
    <row r="17" spans="1:9">
      <c r="A17" s="16" t="s">
        <v>148</v>
      </c>
      <c r="B17" s="23">
        <v>100</v>
      </c>
      <c r="C17" s="16"/>
      <c r="D17" s="16" t="s">
        <v>150</v>
      </c>
      <c r="E17" s="8">
        <v>20</v>
      </c>
      <c r="F17" s="5">
        <f t="shared" ref="F17:F26" si="1">(B17*E17)/1000</f>
        <v>2</v>
      </c>
      <c r="G17" s="1"/>
      <c r="H17" s="1"/>
      <c r="I17" s="1"/>
    </row>
    <row r="18" spans="1:9">
      <c r="A18" s="16" t="s">
        <v>41</v>
      </c>
      <c r="B18" s="23">
        <v>100</v>
      </c>
      <c r="C18" s="16"/>
      <c r="D18" s="16" t="s">
        <v>121</v>
      </c>
      <c r="E18" s="8">
        <v>2</v>
      </c>
      <c r="F18" s="5">
        <f t="shared" si="1"/>
        <v>0.2</v>
      </c>
      <c r="G18" s="1"/>
      <c r="H18" s="1"/>
      <c r="I18" s="1"/>
    </row>
    <row r="19" spans="1:9">
      <c r="A19" s="16"/>
      <c r="B19" s="23">
        <v>100</v>
      </c>
      <c r="C19" s="16"/>
      <c r="D19" s="16" t="s">
        <v>151</v>
      </c>
      <c r="E19" s="8">
        <v>2</v>
      </c>
      <c r="F19" s="5">
        <f t="shared" si="1"/>
        <v>0.2</v>
      </c>
      <c r="G19" s="1"/>
      <c r="H19" s="1"/>
      <c r="I19" s="1"/>
    </row>
    <row r="20" spans="1:9">
      <c r="A20" s="1"/>
      <c r="B20" s="23">
        <v>100</v>
      </c>
      <c r="C20" s="10" t="s">
        <v>152</v>
      </c>
      <c r="D20" s="16" t="s">
        <v>153</v>
      </c>
      <c r="E20" s="8">
        <v>80</v>
      </c>
      <c r="F20" s="5">
        <f t="shared" si="1"/>
        <v>8</v>
      </c>
      <c r="G20" s="1"/>
      <c r="H20" s="1"/>
      <c r="I20" s="1"/>
    </row>
    <row r="21" spans="1:9">
      <c r="A21" s="1"/>
      <c r="B21" s="23">
        <v>100</v>
      </c>
      <c r="C21" s="16"/>
      <c r="D21" s="16" t="s">
        <v>134</v>
      </c>
      <c r="E21" s="8">
        <v>1</v>
      </c>
      <c r="F21" s="5">
        <f t="shared" si="1"/>
        <v>0.1</v>
      </c>
      <c r="G21" s="1"/>
      <c r="H21" s="1"/>
      <c r="I21" s="1"/>
    </row>
    <row r="22" spans="1:9">
      <c r="A22" s="1"/>
      <c r="B22" s="23">
        <v>100</v>
      </c>
      <c r="C22" s="16"/>
      <c r="D22" s="16" t="s">
        <v>154</v>
      </c>
      <c r="E22" s="8">
        <v>25</v>
      </c>
      <c r="F22" s="5">
        <f t="shared" si="1"/>
        <v>2.5</v>
      </c>
      <c r="G22" s="1"/>
      <c r="H22" s="1"/>
      <c r="I22" s="1"/>
    </row>
    <row r="23" spans="1:9">
      <c r="A23" s="1"/>
      <c r="B23" s="23">
        <v>100</v>
      </c>
      <c r="C23" s="16" t="s">
        <v>155</v>
      </c>
      <c r="D23" s="16" t="s">
        <v>156</v>
      </c>
      <c r="E23" s="8">
        <v>50</v>
      </c>
      <c r="F23" s="5">
        <f t="shared" si="1"/>
        <v>5</v>
      </c>
      <c r="G23" s="1"/>
      <c r="H23" s="1"/>
      <c r="I23" s="1"/>
    </row>
    <row r="24" spans="1:9">
      <c r="A24" s="1"/>
      <c r="B24" s="23">
        <v>100</v>
      </c>
      <c r="C24" s="16"/>
      <c r="D24" s="16" t="s">
        <v>157</v>
      </c>
      <c r="E24" s="8">
        <v>10</v>
      </c>
      <c r="F24" s="5">
        <f t="shared" si="1"/>
        <v>1</v>
      </c>
      <c r="G24" s="1"/>
      <c r="H24" s="1"/>
      <c r="I24" s="1"/>
    </row>
    <row r="25" spans="1:9">
      <c r="A25" s="1"/>
      <c r="B25" s="23">
        <v>100</v>
      </c>
      <c r="C25" s="16"/>
      <c r="D25" s="16" t="s">
        <v>134</v>
      </c>
      <c r="E25" s="8">
        <v>10</v>
      </c>
      <c r="F25" s="5">
        <f t="shared" si="1"/>
        <v>1</v>
      </c>
      <c r="G25" s="1"/>
      <c r="H25" s="1"/>
      <c r="I25" s="1"/>
    </row>
    <row r="26" spans="1:9">
      <c r="A26" s="1"/>
      <c r="B26" s="23">
        <v>100</v>
      </c>
      <c r="C26" s="23" t="s">
        <v>8</v>
      </c>
      <c r="D26" s="23" t="s">
        <v>8</v>
      </c>
      <c r="E26" s="8">
        <v>40</v>
      </c>
      <c r="F26" s="5">
        <f t="shared" si="1"/>
        <v>4</v>
      </c>
      <c r="G26" s="1"/>
      <c r="H26" s="1"/>
      <c r="I26" s="1"/>
    </row>
    <row r="27" spans="1:9">
      <c r="A27" s="2"/>
      <c r="B27" s="2"/>
      <c r="C27" s="2"/>
      <c r="D27" s="2"/>
      <c r="E27" s="2"/>
      <c r="F27" s="2"/>
      <c r="G27" s="2"/>
      <c r="H27" s="1"/>
      <c r="I27" s="1"/>
    </row>
    <row r="28" spans="1:9">
      <c r="A28" s="3">
        <v>41916</v>
      </c>
      <c r="B28" s="16">
        <v>200</v>
      </c>
      <c r="C28" s="16" t="s">
        <v>159</v>
      </c>
      <c r="D28" s="16" t="s">
        <v>160</v>
      </c>
      <c r="E28" s="8">
        <v>2</v>
      </c>
      <c r="F28" s="5">
        <f>(B28*E28)/1000</f>
        <v>0.4</v>
      </c>
      <c r="G28" s="1"/>
      <c r="H28" s="1"/>
      <c r="I28" s="1"/>
    </row>
    <row r="29" spans="1:9">
      <c r="A29" s="16" t="s">
        <v>217</v>
      </c>
      <c r="B29" s="16">
        <v>200</v>
      </c>
      <c r="C29" s="16" t="s">
        <v>161</v>
      </c>
      <c r="D29" s="16" t="s">
        <v>164</v>
      </c>
      <c r="E29" s="8">
        <v>2</v>
      </c>
      <c r="F29" s="5">
        <f t="shared" ref="F29:F41" si="2">(B29*E29)/1000</f>
        <v>0.4</v>
      </c>
      <c r="G29" s="1"/>
      <c r="H29" s="1"/>
      <c r="I29" s="1"/>
    </row>
    <row r="30" spans="1:9">
      <c r="A30" s="16" t="s">
        <v>45</v>
      </c>
      <c r="B30" s="16">
        <v>200</v>
      </c>
      <c r="D30" s="16" t="s">
        <v>165</v>
      </c>
      <c r="E30" s="8">
        <v>15</v>
      </c>
      <c r="F30" s="5">
        <f t="shared" si="2"/>
        <v>3</v>
      </c>
      <c r="G30" s="1"/>
      <c r="H30" s="1"/>
      <c r="I30" s="1"/>
    </row>
    <row r="31" spans="1:9">
      <c r="A31" s="1"/>
      <c r="B31" s="16">
        <v>200</v>
      </c>
      <c r="C31" s="16"/>
      <c r="D31" s="16" t="s">
        <v>135</v>
      </c>
      <c r="E31" s="8">
        <v>20</v>
      </c>
      <c r="F31" s="5">
        <f t="shared" si="2"/>
        <v>4</v>
      </c>
      <c r="G31" s="1"/>
      <c r="H31" s="1"/>
      <c r="I31" s="1"/>
    </row>
    <row r="32" spans="1:9">
      <c r="A32" s="1"/>
      <c r="B32" s="16">
        <v>200</v>
      </c>
      <c r="C32" s="16"/>
      <c r="D32" s="16" t="s">
        <v>220</v>
      </c>
      <c r="E32" s="8">
        <v>30</v>
      </c>
      <c r="F32" s="5">
        <f t="shared" si="2"/>
        <v>6</v>
      </c>
      <c r="G32" s="1"/>
      <c r="H32" s="1"/>
      <c r="I32" s="1"/>
    </row>
    <row r="33" spans="1:9">
      <c r="A33" s="1"/>
      <c r="B33" s="16">
        <v>200</v>
      </c>
      <c r="C33" s="16"/>
      <c r="D33" s="16" t="s">
        <v>166</v>
      </c>
      <c r="E33" s="8">
        <v>2</v>
      </c>
      <c r="F33" s="5">
        <f t="shared" si="2"/>
        <v>0.4</v>
      </c>
      <c r="G33" s="1"/>
      <c r="H33" s="1"/>
      <c r="I33" s="1"/>
    </row>
    <row r="34" spans="1:9">
      <c r="A34" s="1"/>
      <c r="B34" s="16">
        <v>200</v>
      </c>
      <c r="C34" s="16"/>
      <c r="D34" s="16" t="s">
        <v>151</v>
      </c>
      <c r="E34" s="8">
        <v>2</v>
      </c>
      <c r="F34" s="5">
        <f t="shared" si="2"/>
        <v>0.4</v>
      </c>
      <c r="G34" s="1"/>
      <c r="H34" s="1"/>
      <c r="I34" s="1"/>
    </row>
    <row r="35" spans="1:9">
      <c r="A35" s="1"/>
      <c r="B35" s="16">
        <v>200</v>
      </c>
      <c r="C35" s="16" t="s">
        <v>162</v>
      </c>
      <c r="D35" s="16" t="s">
        <v>167</v>
      </c>
      <c r="E35" s="8">
        <v>100</v>
      </c>
      <c r="F35" s="5">
        <f t="shared" si="2"/>
        <v>20</v>
      </c>
      <c r="G35" s="1"/>
      <c r="H35" s="1"/>
      <c r="I35" s="1"/>
    </row>
    <row r="36" spans="1:9">
      <c r="A36" s="1"/>
      <c r="B36" s="16">
        <v>200</v>
      </c>
      <c r="C36" s="16"/>
      <c r="D36" s="16" t="s">
        <v>168</v>
      </c>
      <c r="E36" s="8">
        <v>30</v>
      </c>
      <c r="F36" s="5">
        <f t="shared" si="2"/>
        <v>6</v>
      </c>
      <c r="G36" s="1"/>
      <c r="H36" s="1"/>
      <c r="I36" s="1"/>
    </row>
    <row r="37" spans="1:9">
      <c r="A37" s="1"/>
      <c r="B37" s="16">
        <v>200</v>
      </c>
      <c r="C37" s="16"/>
      <c r="D37" s="16" t="s">
        <v>169</v>
      </c>
      <c r="E37" s="8">
        <v>20</v>
      </c>
      <c r="F37" s="5">
        <f t="shared" si="2"/>
        <v>4</v>
      </c>
      <c r="G37" s="1"/>
      <c r="H37" s="1"/>
      <c r="I37" s="1"/>
    </row>
    <row r="38" spans="1:9">
      <c r="A38" s="1"/>
      <c r="B38" s="16">
        <v>200</v>
      </c>
      <c r="C38" s="16" t="s">
        <v>163</v>
      </c>
      <c r="D38" s="16" t="s">
        <v>170</v>
      </c>
      <c r="E38" s="8">
        <v>50</v>
      </c>
      <c r="F38" s="5">
        <f t="shared" si="2"/>
        <v>10</v>
      </c>
      <c r="G38" s="1"/>
      <c r="H38" s="1"/>
      <c r="I38" s="1"/>
    </row>
    <row r="39" spans="1:9">
      <c r="A39" s="1"/>
      <c r="B39" s="19">
        <v>200</v>
      </c>
      <c r="C39" s="19"/>
      <c r="D39" s="19" t="s">
        <v>218</v>
      </c>
      <c r="E39" s="8">
        <v>10</v>
      </c>
      <c r="F39" s="5">
        <f t="shared" si="2"/>
        <v>2</v>
      </c>
      <c r="G39" s="1"/>
      <c r="H39" s="1"/>
      <c r="I39" s="1"/>
    </row>
    <row r="40" spans="1:9">
      <c r="A40" s="1"/>
      <c r="B40" s="19">
        <v>200</v>
      </c>
      <c r="C40" s="19"/>
      <c r="D40" s="19" t="s">
        <v>219</v>
      </c>
      <c r="E40" s="8">
        <v>5</v>
      </c>
      <c r="F40" s="5">
        <f t="shared" si="2"/>
        <v>1</v>
      </c>
      <c r="G40" s="1"/>
      <c r="H40" s="1"/>
      <c r="I40" s="1"/>
    </row>
    <row r="41" spans="1:9">
      <c r="A41" s="1"/>
      <c r="B41" s="16">
        <v>200</v>
      </c>
      <c r="C41" s="16" t="s">
        <v>171</v>
      </c>
      <c r="D41" s="16" t="s">
        <v>171</v>
      </c>
      <c r="E41" s="8">
        <v>40</v>
      </c>
      <c r="F41" s="5">
        <f t="shared" si="2"/>
        <v>8</v>
      </c>
      <c r="G41" s="1"/>
      <c r="H41" s="1"/>
      <c r="I41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topLeftCell="A7" workbookViewId="0">
      <selection activeCell="C28" sqref="C28"/>
    </sheetView>
  </sheetViews>
  <sheetFormatPr defaultRowHeight="16.5"/>
  <cols>
    <col min="1" max="1" width="5.5" customWidth="1"/>
    <col min="2" max="2" width="6.37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1" t="s">
        <v>225</v>
      </c>
      <c r="B1" s="31"/>
      <c r="C1" s="31"/>
      <c r="D1" s="31"/>
      <c r="E1" s="31"/>
      <c r="F1" s="31"/>
      <c r="G1" s="31"/>
      <c r="H1" s="31"/>
      <c r="I1" s="31"/>
    </row>
    <row r="2" spans="1:9" ht="24" customHeight="1">
      <c r="A2" s="16" t="s">
        <v>0</v>
      </c>
      <c r="B2" s="16" t="s">
        <v>3</v>
      </c>
      <c r="C2" s="16" t="s">
        <v>4</v>
      </c>
      <c r="D2" s="16" t="s">
        <v>5</v>
      </c>
      <c r="E2" s="16" t="s">
        <v>17</v>
      </c>
      <c r="F2" s="16" t="s">
        <v>6</v>
      </c>
      <c r="G2" s="16" t="s">
        <v>7</v>
      </c>
      <c r="H2" s="16"/>
      <c r="I2" s="16"/>
    </row>
    <row r="3" spans="1:9">
      <c r="A3" s="3">
        <v>41916</v>
      </c>
      <c r="B3" s="16">
        <v>250</v>
      </c>
      <c r="C3" s="16" t="s">
        <v>173</v>
      </c>
      <c r="D3" s="16" t="s">
        <v>177</v>
      </c>
      <c r="E3" s="8">
        <v>20</v>
      </c>
      <c r="F3" s="5">
        <f>(B3*E3)/1000</f>
        <v>5</v>
      </c>
      <c r="G3" s="1"/>
      <c r="H3" s="1"/>
      <c r="I3" s="1"/>
    </row>
    <row r="4" spans="1:9">
      <c r="A4" s="16" t="s">
        <v>172</v>
      </c>
      <c r="B4" s="23">
        <v>250</v>
      </c>
      <c r="C4" s="16"/>
      <c r="D4" s="16" t="s">
        <v>178</v>
      </c>
      <c r="E4" s="8">
        <v>15</v>
      </c>
      <c r="F4" s="6">
        <f>(B4*E4)/1000</f>
        <v>3.75</v>
      </c>
      <c r="G4" s="1"/>
      <c r="H4" s="1"/>
      <c r="I4" s="1"/>
    </row>
    <row r="5" spans="1:9">
      <c r="A5" s="16" t="s">
        <v>36</v>
      </c>
      <c r="B5" s="23">
        <v>250</v>
      </c>
      <c r="C5" s="16"/>
      <c r="D5" s="16" t="s">
        <v>179</v>
      </c>
      <c r="E5" s="8">
        <v>50</v>
      </c>
      <c r="F5" s="6">
        <f t="shared" ref="F5:F9" si="0">(B5*E5)/1000</f>
        <v>12.5</v>
      </c>
      <c r="G5" s="1"/>
      <c r="H5" s="1"/>
      <c r="I5" s="1"/>
    </row>
    <row r="6" spans="1:9">
      <c r="A6" s="16"/>
      <c r="B6" s="23">
        <v>250</v>
      </c>
      <c r="C6" s="16"/>
      <c r="D6" s="16" t="s">
        <v>180</v>
      </c>
      <c r="E6" s="8">
        <v>30</v>
      </c>
      <c r="F6" s="6">
        <f t="shared" si="0"/>
        <v>7.5</v>
      </c>
      <c r="G6" s="1"/>
      <c r="H6" s="1"/>
      <c r="I6" s="1"/>
    </row>
    <row r="7" spans="1:9">
      <c r="A7" s="16"/>
      <c r="B7" s="23">
        <v>250</v>
      </c>
      <c r="C7" s="16"/>
      <c r="D7" s="16" t="s">
        <v>182</v>
      </c>
      <c r="E7" s="8">
        <v>25</v>
      </c>
      <c r="F7" s="6">
        <f t="shared" si="0"/>
        <v>6.25</v>
      </c>
      <c r="G7" s="1"/>
      <c r="H7" s="1"/>
      <c r="I7" s="1"/>
    </row>
    <row r="8" spans="1:9">
      <c r="A8" s="16"/>
      <c r="B8" s="23">
        <v>250</v>
      </c>
      <c r="C8" s="18"/>
      <c r="D8" s="16" t="s">
        <v>93</v>
      </c>
      <c r="E8" s="8">
        <v>20</v>
      </c>
      <c r="F8" s="6">
        <f t="shared" si="0"/>
        <v>5</v>
      </c>
      <c r="G8" s="1"/>
      <c r="H8" s="1"/>
      <c r="I8" s="1"/>
    </row>
    <row r="9" spans="1:9">
      <c r="A9" s="1"/>
      <c r="B9" s="23">
        <v>250</v>
      </c>
      <c r="C9" s="16" t="s">
        <v>174</v>
      </c>
      <c r="D9" s="18" t="s">
        <v>183</v>
      </c>
      <c r="E9" s="8">
        <v>30</v>
      </c>
      <c r="F9" s="6">
        <f t="shared" si="0"/>
        <v>7.5</v>
      </c>
      <c r="G9" s="1"/>
      <c r="H9" s="1"/>
      <c r="I9" s="1"/>
    </row>
    <row r="10" spans="1:9">
      <c r="A10" s="1"/>
      <c r="B10" s="23">
        <v>250</v>
      </c>
      <c r="C10" s="16"/>
      <c r="D10" s="16" t="s">
        <v>114</v>
      </c>
      <c r="E10" s="8">
        <v>5</v>
      </c>
      <c r="F10" s="6">
        <f>(B10*E10)/1000</f>
        <v>1.25</v>
      </c>
      <c r="G10" s="1"/>
      <c r="H10" s="1"/>
      <c r="I10" s="1"/>
    </row>
    <row r="11" spans="1:9">
      <c r="A11" s="1"/>
      <c r="B11" s="23">
        <v>250</v>
      </c>
      <c r="C11" s="23" t="s">
        <v>246</v>
      </c>
      <c r="D11" s="23" t="s">
        <v>247</v>
      </c>
      <c r="E11" s="8">
        <v>60</v>
      </c>
      <c r="F11" s="6">
        <f>(B11*E11)/1000</f>
        <v>15</v>
      </c>
      <c r="G11" s="1"/>
      <c r="H11" s="1"/>
      <c r="I11" s="1"/>
    </row>
    <row r="12" spans="1:9">
      <c r="A12" s="1"/>
      <c r="B12" s="23">
        <v>250</v>
      </c>
      <c r="C12" s="16"/>
      <c r="D12" s="16" t="s">
        <v>175</v>
      </c>
      <c r="E12" s="8">
        <v>0</v>
      </c>
      <c r="F12" s="6">
        <f>(B12*E12)/1000</f>
        <v>0</v>
      </c>
      <c r="G12" s="1"/>
      <c r="H12" s="1"/>
      <c r="I12" s="1"/>
    </row>
    <row r="13" spans="1:9">
      <c r="A13" s="1"/>
      <c r="B13" s="23">
        <v>250</v>
      </c>
      <c r="C13" s="16" t="s">
        <v>176</v>
      </c>
      <c r="D13" s="16" t="s">
        <v>176</v>
      </c>
      <c r="E13" s="8">
        <v>60</v>
      </c>
      <c r="F13" s="6">
        <f>(B13*E13)/1000</f>
        <v>15</v>
      </c>
      <c r="G13" s="1"/>
      <c r="H13" s="1"/>
      <c r="I13" s="1"/>
    </row>
    <row r="14" spans="1:9">
      <c r="A14" s="1"/>
      <c r="B14" s="23">
        <v>250</v>
      </c>
      <c r="C14" s="23" t="s">
        <v>248</v>
      </c>
      <c r="D14" s="23" t="s">
        <v>248</v>
      </c>
      <c r="E14" s="8">
        <v>100</v>
      </c>
      <c r="F14" s="6" t="s">
        <v>44</v>
      </c>
      <c r="G14" s="1"/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41917</v>
      </c>
      <c r="B16" s="16">
        <v>200</v>
      </c>
      <c r="C16" s="23" t="s">
        <v>249</v>
      </c>
      <c r="D16" s="23" t="s">
        <v>249</v>
      </c>
      <c r="E16" s="8">
        <v>100</v>
      </c>
      <c r="F16" s="6" t="s">
        <v>196</v>
      </c>
      <c r="G16" s="1"/>
      <c r="H16" s="1"/>
      <c r="I16" s="1"/>
    </row>
    <row r="17" spans="1:9">
      <c r="A17" s="16" t="s">
        <v>184</v>
      </c>
      <c r="B17" s="17">
        <v>200</v>
      </c>
      <c r="C17" s="16" t="s">
        <v>185</v>
      </c>
      <c r="D17" s="16" t="s">
        <v>186</v>
      </c>
      <c r="E17" s="8">
        <v>200</v>
      </c>
      <c r="F17" s="6" t="s">
        <v>196</v>
      </c>
      <c r="G17" s="1"/>
      <c r="H17" s="1"/>
      <c r="I17" s="1"/>
    </row>
    <row r="18" spans="1:9">
      <c r="A18" s="16" t="s">
        <v>41</v>
      </c>
      <c r="B18" s="17">
        <v>200</v>
      </c>
      <c r="C18" s="16" t="s">
        <v>187</v>
      </c>
      <c r="D18" s="16" t="s">
        <v>188</v>
      </c>
      <c r="E18" s="8">
        <v>30</v>
      </c>
      <c r="F18" s="5">
        <f t="shared" ref="F18:F23" si="1">(B18*E18)/1000</f>
        <v>6</v>
      </c>
      <c r="G18" s="1"/>
      <c r="H18" s="1"/>
      <c r="I18" s="1"/>
    </row>
    <row r="19" spans="1:9">
      <c r="A19" s="16"/>
      <c r="B19" s="17">
        <v>200</v>
      </c>
      <c r="C19" s="16" t="s">
        <v>189</v>
      </c>
      <c r="D19" s="16" t="s">
        <v>190</v>
      </c>
      <c r="E19" s="8">
        <v>65</v>
      </c>
      <c r="F19" s="5">
        <f t="shared" si="1"/>
        <v>13</v>
      </c>
      <c r="G19" s="1"/>
      <c r="H19" s="1"/>
      <c r="I19" s="1"/>
    </row>
    <row r="20" spans="1:9">
      <c r="A20" s="1"/>
      <c r="B20" s="17">
        <v>200</v>
      </c>
      <c r="C20" s="10"/>
      <c r="D20" s="16" t="s">
        <v>191</v>
      </c>
      <c r="E20" s="8">
        <v>40</v>
      </c>
      <c r="F20" s="5">
        <f t="shared" si="1"/>
        <v>8</v>
      </c>
      <c r="G20" s="1"/>
      <c r="H20" s="1"/>
      <c r="I20" s="1"/>
    </row>
    <row r="21" spans="1:9">
      <c r="A21" s="1"/>
      <c r="B21" s="17">
        <v>200</v>
      </c>
      <c r="C21" s="16"/>
      <c r="D21" s="16" t="s">
        <v>91</v>
      </c>
      <c r="E21" s="8">
        <v>10</v>
      </c>
      <c r="F21" s="5">
        <f t="shared" si="1"/>
        <v>2</v>
      </c>
      <c r="G21" s="1"/>
      <c r="H21" s="1"/>
      <c r="I21" s="1"/>
    </row>
    <row r="22" spans="1:9">
      <c r="A22" s="1"/>
      <c r="B22" s="17">
        <v>200</v>
      </c>
      <c r="C22" s="16"/>
      <c r="D22" s="16" t="s">
        <v>192</v>
      </c>
      <c r="E22" s="8">
        <v>20</v>
      </c>
      <c r="F22" s="5">
        <f t="shared" si="1"/>
        <v>4</v>
      </c>
      <c r="G22" s="1"/>
      <c r="H22" s="1"/>
      <c r="I22" s="1"/>
    </row>
    <row r="23" spans="1:9">
      <c r="A23" s="1"/>
      <c r="B23" s="17">
        <v>200</v>
      </c>
      <c r="C23" s="16"/>
      <c r="D23" s="16" t="s">
        <v>193</v>
      </c>
      <c r="E23" s="8">
        <v>30</v>
      </c>
      <c r="F23" s="5">
        <f t="shared" si="1"/>
        <v>6</v>
      </c>
      <c r="G23" s="1"/>
      <c r="H23" s="1"/>
      <c r="I23" s="1"/>
    </row>
    <row r="24" spans="1:9">
      <c r="A24" s="1"/>
      <c r="B24" s="17">
        <v>200</v>
      </c>
      <c r="C24" s="16" t="s">
        <v>194</v>
      </c>
      <c r="D24" s="16" t="s">
        <v>195</v>
      </c>
      <c r="E24" s="8">
        <v>100</v>
      </c>
      <c r="F24" s="6" t="s">
        <v>197</v>
      </c>
      <c r="G24" s="1"/>
      <c r="H24" s="1"/>
      <c r="I24" s="1"/>
    </row>
    <row r="25" spans="1:9">
      <c r="A25" s="2"/>
      <c r="B25" s="2"/>
      <c r="C25" s="2"/>
      <c r="D25" s="2"/>
      <c r="E25" s="2"/>
      <c r="F25" s="2"/>
      <c r="G25" s="2"/>
      <c r="H25" s="1"/>
      <c r="I25" s="1"/>
    </row>
    <row r="26" spans="1:9">
      <c r="A26" s="3">
        <v>41917</v>
      </c>
      <c r="B26" s="16">
        <v>250</v>
      </c>
      <c r="C26" s="16" t="s">
        <v>198</v>
      </c>
      <c r="D26" s="16" t="s">
        <v>199</v>
      </c>
      <c r="E26" s="8">
        <v>2</v>
      </c>
      <c r="F26" s="5">
        <f>(B26*E26)/1000</f>
        <v>0.5</v>
      </c>
      <c r="G26" s="1"/>
      <c r="H26" s="1"/>
      <c r="I26" s="1"/>
    </row>
    <row r="27" spans="1:9">
      <c r="A27" s="16" t="s">
        <v>184</v>
      </c>
      <c r="B27" s="23">
        <v>250</v>
      </c>
      <c r="C27" s="10" t="s">
        <v>253</v>
      </c>
      <c r="D27" s="23" t="s">
        <v>250</v>
      </c>
      <c r="E27" s="8">
        <v>5</v>
      </c>
      <c r="F27" s="5">
        <f t="shared" ref="F27:F39" si="2">(B27*E27)/1000</f>
        <v>1.25</v>
      </c>
      <c r="G27" s="1"/>
      <c r="H27" s="1"/>
      <c r="I27" s="1"/>
    </row>
    <row r="28" spans="1:9">
      <c r="A28" s="16" t="s">
        <v>45</v>
      </c>
      <c r="B28" s="23">
        <v>250</v>
      </c>
      <c r="D28" s="23" t="s">
        <v>24</v>
      </c>
      <c r="E28" s="8">
        <v>35</v>
      </c>
      <c r="F28" s="5">
        <f t="shared" si="2"/>
        <v>8.75</v>
      </c>
      <c r="G28" s="1"/>
      <c r="H28" s="1"/>
      <c r="I28" s="1"/>
    </row>
    <row r="29" spans="1:9">
      <c r="A29" s="1"/>
      <c r="B29" s="23">
        <v>250</v>
      </c>
      <c r="C29" s="16"/>
      <c r="D29" s="23" t="s">
        <v>43</v>
      </c>
      <c r="E29" s="8">
        <v>30</v>
      </c>
      <c r="F29" s="5">
        <f t="shared" si="2"/>
        <v>7.5</v>
      </c>
      <c r="G29" s="1"/>
      <c r="H29" s="1"/>
      <c r="I29" s="1"/>
    </row>
    <row r="30" spans="1:9">
      <c r="A30" s="1"/>
      <c r="B30" s="23">
        <v>250</v>
      </c>
      <c r="C30" s="23"/>
      <c r="D30" s="23" t="s">
        <v>251</v>
      </c>
      <c r="E30" s="8">
        <v>10</v>
      </c>
      <c r="F30" s="5">
        <f t="shared" si="2"/>
        <v>2.5</v>
      </c>
      <c r="G30" s="1" t="s">
        <v>233</v>
      </c>
      <c r="H30" s="1"/>
      <c r="I30" s="1"/>
    </row>
    <row r="31" spans="1:9">
      <c r="A31" s="1"/>
      <c r="B31" s="23">
        <v>250</v>
      </c>
      <c r="C31" s="16" t="s">
        <v>201</v>
      </c>
      <c r="D31" s="16" t="s">
        <v>202</v>
      </c>
      <c r="E31" s="8">
        <v>100</v>
      </c>
      <c r="F31" s="5">
        <f t="shared" si="2"/>
        <v>25</v>
      </c>
      <c r="G31" s="1"/>
      <c r="H31" s="1"/>
      <c r="I31" s="1"/>
    </row>
    <row r="32" spans="1:9">
      <c r="A32" s="1"/>
      <c r="B32" s="23">
        <v>250</v>
      </c>
      <c r="C32" s="16"/>
      <c r="D32" s="16" t="s">
        <v>203</v>
      </c>
      <c r="E32" s="8">
        <v>0</v>
      </c>
      <c r="F32" s="5">
        <f t="shared" si="2"/>
        <v>0</v>
      </c>
      <c r="G32" s="1"/>
      <c r="H32" s="1"/>
      <c r="I32" s="1"/>
    </row>
    <row r="33" spans="1:9">
      <c r="A33" s="1"/>
      <c r="B33" s="23">
        <v>250</v>
      </c>
      <c r="C33" s="16" t="s">
        <v>204</v>
      </c>
      <c r="D33" s="23" t="s">
        <v>252</v>
      </c>
      <c r="E33" s="8">
        <v>150</v>
      </c>
      <c r="F33" s="5">
        <f t="shared" si="2"/>
        <v>37.5</v>
      </c>
      <c r="G33" s="1"/>
      <c r="H33" s="1"/>
      <c r="I33" s="1"/>
    </row>
    <row r="34" spans="1:9">
      <c r="A34" s="1"/>
      <c r="B34" s="23">
        <v>250</v>
      </c>
      <c r="C34" s="16"/>
      <c r="D34" s="16" t="s">
        <v>180</v>
      </c>
      <c r="E34" s="8">
        <v>30</v>
      </c>
      <c r="F34" s="5">
        <f t="shared" si="2"/>
        <v>7.5</v>
      </c>
      <c r="G34" s="1"/>
      <c r="H34" s="1"/>
      <c r="I34" s="1"/>
    </row>
    <row r="35" spans="1:9">
      <c r="A35" s="1"/>
      <c r="B35" s="23">
        <v>250</v>
      </c>
      <c r="C35" s="16"/>
      <c r="D35" s="16" t="s">
        <v>79</v>
      </c>
      <c r="E35" s="8">
        <v>5</v>
      </c>
      <c r="F35" s="5">
        <f t="shared" si="2"/>
        <v>1.25</v>
      </c>
      <c r="G35" s="1"/>
      <c r="H35" s="1"/>
      <c r="I35" s="1"/>
    </row>
    <row r="36" spans="1:9">
      <c r="A36" s="1"/>
      <c r="B36" s="23">
        <v>250</v>
      </c>
      <c r="C36" s="16"/>
      <c r="D36" s="16" t="s">
        <v>181</v>
      </c>
      <c r="E36" s="8">
        <v>20</v>
      </c>
      <c r="F36" s="5">
        <f t="shared" si="2"/>
        <v>5</v>
      </c>
      <c r="G36" s="1"/>
      <c r="H36" s="1"/>
      <c r="I36" s="1"/>
    </row>
    <row r="37" spans="1:9">
      <c r="A37" s="1"/>
      <c r="B37" s="23">
        <v>250</v>
      </c>
      <c r="C37" s="16"/>
      <c r="D37" s="16" t="s">
        <v>205</v>
      </c>
      <c r="E37" s="8">
        <v>5</v>
      </c>
      <c r="F37" s="5">
        <f t="shared" si="2"/>
        <v>1.25</v>
      </c>
      <c r="G37" s="1"/>
      <c r="H37" s="1"/>
      <c r="I37" s="1"/>
    </row>
    <row r="38" spans="1:9">
      <c r="A38" s="1"/>
      <c r="B38" s="23">
        <v>250</v>
      </c>
      <c r="C38" s="17"/>
      <c r="D38" s="17" t="s">
        <v>206</v>
      </c>
      <c r="E38" s="8">
        <v>3</v>
      </c>
      <c r="F38" s="5">
        <f t="shared" si="2"/>
        <v>0.75</v>
      </c>
      <c r="G38" s="1"/>
      <c r="H38" s="1"/>
      <c r="I38" s="1"/>
    </row>
    <row r="39" spans="1:9">
      <c r="A39" s="1"/>
      <c r="B39" s="23">
        <v>250</v>
      </c>
      <c r="C39" s="16" t="s">
        <v>171</v>
      </c>
      <c r="D39" s="16" t="s">
        <v>171</v>
      </c>
      <c r="E39" s="8">
        <v>40</v>
      </c>
      <c r="F39" s="5">
        <f t="shared" si="2"/>
        <v>10</v>
      </c>
      <c r="G39" s="1"/>
      <c r="H39" s="1"/>
      <c r="I39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3" sqref="F13"/>
    </sheetView>
  </sheetViews>
  <sheetFormatPr defaultRowHeight="16.5"/>
  <cols>
    <col min="1" max="1" width="6.875" customWidth="1"/>
    <col min="2" max="2" width="6.375" customWidth="1"/>
    <col min="3" max="3" width="14.375" customWidth="1"/>
    <col min="4" max="4" width="12.75" customWidth="1"/>
    <col min="5" max="5" width="10.62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1" t="s">
        <v>225</v>
      </c>
      <c r="B1" s="31"/>
      <c r="C1" s="31"/>
      <c r="D1" s="31"/>
      <c r="E1" s="31"/>
      <c r="F1" s="31"/>
      <c r="G1" s="31"/>
      <c r="H1" s="31"/>
      <c r="I1" s="31"/>
    </row>
    <row r="2" spans="1:9" ht="24" customHeight="1">
      <c r="A2" s="20" t="s">
        <v>0</v>
      </c>
      <c r="B2" s="17" t="s">
        <v>3</v>
      </c>
      <c r="C2" s="17" t="s">
        <v>4</v>
      </c>
      <c r="D2" s="17" t="s">
        <v>5</v>
      </c>
      <c r="E2" s="17" t="s">
        <v>17</v>
      </c>
      <c r="F2" s="17" t="s">
        <v>6</v>
      </c>
      <c r="G2" s="17" t="s">
        <v>7</v>
      </c>
      <c r="H2" s="17"/>
      <c r="I2" s="17"/>
    </row>
    <row r="3" spans="1:9">
      <c r="A3" s="3">
        <v>41916</v>
      </c>
      <c r="B3" s="17">
        <v>380</v>
      </c>
      <c r="C3" s="17" t="s">
        <v>207</v>
      </c>
      <c r="D3" s="17" t="s">
        <v>209</v>
      </c>
      <c r="E3" s="8">
        <v>100</v>
      </c>
      <c r="F3" s="5">
        <f>(B3*E3)/1000</f>
        <v>38</v>
      </c>
      <c r="G3" s="1"/>
      <c r="H3" s="1"/>
      <c r="I3" s="1"/>
    </row>
    <row r="4" spans="1:9">
      <c r="A4" s="17" t="s">
        <v>184</v>
      </c>
      <c r="B4" s="23">
        <v>380</v>
      </c>
      <c r="C4" s="17" t="s">
        <v>208</v>
      </c>
      <c r="D4" s="17" t="s">
        <v>180</v>
      </c>
      <c r="E4" s="8">
        <v>50</v>
      </c>
      <c r="F4" s="6">
        <f>(B4*E4)/1000</f>
        <v>19</v>
      </c>
      <c r="G4" s="1"/>
      <c r="H4" s="1"/>
      <c r="I4" s="1"/>
    </row>
    <row r="5" spans="1:9">
      <c r="A5" s="17" t="s">
        <v>36</v>
      </c>
      <c r="B5" s="23">
        <v>380</v>
      </c>
      <c r="C5" s="17"/>
      <c r="D5" s="17" t="s">
        <v>181</v>
      </c>
      <c r="E5" s="8">
        <v>30</v>
      </c>
      <c r="F5" s="6">
        <f t="shared" ref="F5:F9" si="0">(B5*E5)/1000</f>
        <v>11.4</v>
      </c>
      <c r="G5" s="1"/>
      <c r="H5" s="1"/>
      <c r="I5" s="1"/>
    </row>
    <row r="6" spans="1:9">
      <c r="A6" s="17"/>
      <c r="B6" s="23">
        <v>380</v>
      </c>
      <c r="C6" s="17"/>
      <c r="D6" s="17" t="s">
        <v>205</v>
      </c>
      <c r="E6" s="8">
        <v>10</v>
      </c>
      <c r="F6" s="6">
        <f t="shared" si="0"/>
        <v>3.8</v>
      </c>
      <c r="G6" s="1"/>
      <c r="H6" s="1"/>
      <c r="I6" s="1"/>
    </row>
    <row r="7" spans="1:9">
      <c r="A7" s="17"/>
      <c r="B7" s="23">
        <v>380</v>
      </c>
      <c r="C7" s="17"/>
      <c r="D7" s="17" t="s">
        <v>210</v>
      </c>
      <c r="E7" s="8">
        <v>2</v>
      </c>
      <c r="F7" s="6">
        <f t="shared" si="0"/>
        <v>0.76</v>
      </c>
      <c r="G7" s="1"/>
      <c r="H7" s="1"/>
      <c r="I7" s="1"/>
    </row>
    <row r="8" spans="1:9">
      <c r="A8" s="17"/>
      <c r="B8" s="23">
        <v>380</v>
      </c>
      <c r="C8" s="18" t="s">
        <v>211</v>
      </c>
      <c r="D8" s="17" t="s">
        <v>212</v>
      </c>
      <c r="E8" s="8">
        <v>25</v>
      </c>
      <c r="F8" s="6">
        <f t="shared" si="0"/>
        <v>9.5</v>
      </c>
      <c r="G8" s="1"/>
      <c r="H8" s="1"/>
      <c r="I8" s="1"/>
    </row>
    <row r="9" spans="1:9">
      <c r="A9" s="1"/>
      <c r="B9" s="23">
        <v>380</v>
      </c>
      <c r="C9" s="17"/>
      <c r="D9" s="18" t="s">
        <v>181</v>
      </c>
      <c r="E9" s="8">
        <v>5</v>
      </c>
      <c r="F9" s="6">
        <f t="shared" si="0"/>
        <v>1.9</v>
      </c>
      <c r="G9" s="1"/>
      <c r="H9" s="1"/>
      <c r="I9" s="1"/>
    </row>
    <row r="10" spans="1:9">
      <c r="A10" s="1"/>
      <c r="B10" s="23">
        <v>380</v>
      </c>
      <c r="C10" s="17"/>
      <c r="D10" s="17" t="s">
        <v>200</v>
      </c>
      <c r="E10" s="8">
        <v>2</v>
      </c>
      <c r="F10" s="6">
        <f t="shared" ref="F10:F12" si="1">(B10*E10)/1000</f>
        <v>0.76</v>
      </c>
      <c r="G10" s="1"/>
      <c r="H10" s="1"/>
      <c r="I10" s="1"/>
    </row>
    <row r="11" spans="1:9">
      <c r="A11" s="1"/>
      <c r="B11" s="23">
        <v>380</v>
      </c>
      <c r="C11" s="23" t="s">
        <v>254</v>
      </c>
      <c r="D11" s="23" t="s">
        <v>254</v>
      </c>
      <c r="E11" s="8">
        <v>60</v>
      </c>
      <c r="F11" s="6">
        <f t="shared" si="1"/>
        <v>22.8</v>
      </c>
      <c r="G11" s="1"/>
      <c r="H11" s="1"/>
      <c r="I11" s="1"/>
    </row>
    <row r="12" spans="1:9">
      <c r="A12" s="1"/>
      <c r="B12" s="23">
        <v>380</v>
      </c>
      <c r="C12" s="17" t="s">
        <v>64</v>
      </c>
      <c r="D12" s="17" t="s">
        <v>214</v>
      </c>
      <c r="E12" s="8">
        <v>40</v>
      </c>
      <c r="F12" s="6">
        <f t="shared" si="1"/>
        <v>15.2</v>
      </c>
      <c r="G12" s="1"/>
      <c r="H12" s="1"/>
      <c r="I12" s="1"/>
    </row>
    <row r="13" spans="1:9">
      <c r="A13" s="1"/>
      <c r="B13" s="23">
        <v>380</v>
      </c>
      <c r="C13" s="17" t="s">
        <v>213</v>
      </c>
      <c r="D13" s="17" t="s">
        <v>213</v>
      </c>
      <c r="E13" s="8">
        <v>65</v>
      </c>
      <c r="F13" s="6" t="s">
        <v>221</v>
      </c>
      <c r="G13" s="1"/>
      <c r="H13" s="1"/>
      <c r="I13" s="1"/>
    </row>
    <row r="14" spans="1:9">
      <c r="A14" s="2"/>
      <c r="B14" s="2"/>
      <c r="C14" s="2"/>
      <c r="D14" s="2"/>
      <c r="E14" s="2"/>
      <c r="F14" s="2"/>
      <c r="G14" s="2"/>
      <c r="H14" s="1"/>
      <c r="I14" s="1"/>
    </row>
    <row r="15" spans="1:9">
      <c r="A15" s="3"/>
      <c r="B15" s="17"/>
      <c r="C15" s="17"/>
      <c r="D15" s="17"/>
      <c r="E15" s="8"/>
      <c r="F15" s="6"/>
      <c r="G15" s="1"/>
      <c r="H15" s="1"/>
      <c r="I15" s="1"/>
    </row>
    <row r="16" spans="1:9">
      <c r="A16" s="17"/>
      <c r="B16" s="17"/>
      <c r="C16" s="17"/>
      <c r="D16" s="17"/>
      <c r="E16" s="8"/>
      <c r="F16" s="6"/>
      <c r="G16" s="1"/>
      <c r="H16" s="1"/>
      <c r="I16" s="1"/>
    </row>
    <row r="17" spans="1:9">
      <c r="A17" s="17"/>
      <c r="B17" s="17"/>
      <c r="C17" s="17"/>
      <c r="D17" s="17"/>
      <c r="E17" s="8"/>
      <c r="F17" s="5"/>
      <c r="G17" s="1"/>
      <c r="H17" s="1"/>
      <c r="I17" s="1"/>
    </row>
    <row r="18" spans="1:9">
      <c r="A18" s="17"/>
      <c r="B18" s="17"/>
      <c r="C18" s="17"/>
      <c r="D18" s="17"/>
      <c r="E18" s="8"/>
      <c r="F18" s="5"/>
      <c r="G18" s="1"/>
      <c r="H18" s="1"/>
      <c r="I18" s="1"/>
    </row>
    <row r="19" spans="1:9">
      <c r="A19" s="1"/>
      <c r="B19" s="17"/>
      <c r="C19" s="10"/>
      <c r="D19" s="17"/>
      <c r="E19" s="8"/>
      <c r="F19" s="5"/>
      <c r="G19" s="1"/>
      <c r="H19" s="1"/>
      <c r="I19" s="1"/>
    </row>
    <row r="20" spans="1:9">
      <c r="A20" s="1"/>
      <c r="B20" s="17"/>
      <c r="C20" s="17"/>
      <c r="D20" s="17"/>
      <c r="E20" s="8"/>
      <c r="F20" s="5"/>
      <c r="G20" s="1"/>
      <c r="H20" s="1"/>
      <c r="I20" s="1"/>
    </row>
    <row r="21" spans="1:9">
      <c r="A21" s="1"/>
      <c r="B21" s="17"/>
      <c r="C21" s="17"/>
      <c r="D21" s="17"/>
      <c r="E21" s="8"/>
      <c r="F21" s="5"/>
      <c r="G21" s="1"/>
      <c r="H21" s="1"/>
      <c r="I21" s="1"/>
    </row>
    <row r="22" spans="1:9">
      <c r="A22" s="1"/>
      <c r="B22" s="17"/>
      <c r="C22" s="17"/>
      <c r="D22" s="17"/>
      <c r="E22" s="8"/>
      <c r="F22" s="5"/>
      <c r="G22" s="1"/>
      <c r="H22" s="1"/>
      <c r="I22" s="1"/>
    </row>
    <row r="23" spans="1:9">
      <c r="A23" s="1"/>
      <c r="B23" s="17"/>
      <c r="C23" s="17"/>
      <c r="D23" s="17"/>
      <c r="E23" s="8"/>
      <c r="F23" s="6"/>
      <c r="G23" s="1"/>
      <c r="H23" s="1"/>
      <c r="I23" s="1"/>
    </row>
    <row r="24" spans="1:9">
      <c r="A24" s="2"/>
      <c r="B24" s="2"/>
      <c r="C24" s="2"/>
      <c r="D24" s="2"/>
      <c r="E24" s="2"/>
      <c r="F24" s="2"/>
      <c r="G24" s="2"/>
      <c r="H24" s="1"/>
      <c r="I24" s="1"/>
    </row>
    <row r="25" spans="1:9">
      <c r="A25" s="3"/>
      <c r="B25" s="17"/>
      <c r="C25" s="17"/>
      <c r="D25" s="17"/>
      <c r="E25" s="8"/>
      <c r="F25" s="5"/>
      <c r="G25" s="1"/>
      <c r="H25" s="1"/>
      <c r="I25" s="1"/>
    </row>
    <row r="26" spans="1:9">
      <c r="A26" s="17"/>
      <c r="B26" s="17"/>
      <c r="C26" s="17"/>
      <c r="D26" s="17"/>
      <c r="E26" s="8"/>
      <c r="F26" s="5"/>
      <c r="G26" s="1"/>
      <c r="H26" s="1"/>
      <c r="I26" s="1"/>
    </row>
    <row r="27" spans="1:9">
      <c r="A27" s="17"/>
      <c r="B27" s="17"/>
      <c r="D27" s="17"/>
      <c r="E27" s="8"/>
      <c r="F27" s="5"/>
      <c r="G27" s="1"/>
      <c r="H27" s="1"/>
      <c r="I27" s="1"/>
    </row>
    <row r="28" spans="1:9">
      <c r="A28" s="1"/>
      <c r="B28" s="17"/>
      <c r="C28" s="17"/>
      <c r="D28" s="17"/>
      <c r="E28" s="8"/>
      <c r="F28" s="5"/>
      <c r="G28" s="1"/>
      <c r="H28" s="1"/>
      <c r="I28" s="1"/>
    </row>
    <row r="29" spans="1:9">
      <c r="A29" s="1"/>
      <c r="B29" s="17"/>
      <c r="C29" s="17"/>
      <c r="D29" s="17"/>
      <c r="E29" s="8"/>
      <c r="F29" s="5"/>
      <c r="G29" s="1"/>
      <c r="H29" s="1"/>
      <c r="I29" s="1"/>
    </row>
    <row r="30" spans="1:9">
      <c r="A30" s="1"/>
      <c r="B30" s="17"/>
      <c r="C30" s="17"/>
      <c r="D30" s="17"/>
      <c r="E30" s="8"/>
      <c r="F30" s="5"/>
      <c r="G30" s="1"/>
      <c r="H30" s="1"/>
      <c r="I30" s="1"/>
    </row>
    <row r="31" spans="1:9">
      <c r="A31" s="1"/>
      <c r="B31" s="17"/>
      <c r="C31" s="17"/>
      <c r="D31" s="17"/>
      <c r="E31" s="8"/>
      <c r="F31" s="5"/>
      <c r="G31" s="1"/>
      <c r="H31" s="1"/>
      <c r="I31" s="1"/>
    </row>
    <row r="32" spans="1:9">
      <c r="A32" s="1"/>
      <c r="B32" s="17"/>
      <c r="C32" s="17"/>
      <c r="D32" s="17"/>
      <c r="E32" s="8"/>
      <c r="F32" s="5"/>
      <c r="G32" s="1"/>
      <c r="H32" s="1"/>
      <c r="I32" s="1"/>
    </row>
    <row r="33" spans="1:9">
      <c r="A33" s="1"/>
      <c r="B33" s="17"/>
      <c r="C33" s="17"/>
      <c r="D33" s="17"/>
      <c r="E33" s="8"/>
      <c r="F33" s="5"/>
      <c r="G33" s="1"/>
      <c r="H33" s="1"/>
      <c r="I33" s="1"/>
    </row>
    <row r="34" spans="1:9">
      <c r="A34" s="1"/>
      <c r="B34" s="17"/>
      <c r="C34" s="17"/>
      <c r="D34" s="17"/>
      <c r="E34" s="8"/>
      <c r="F34" s="5"/>
      <c r="G34" s="1"/>
      <c r="H34" s="1"/>
      <c r="I34" s="1"/>
    </row>
    <row r="35" spans="1:9">
      <c r="A35" s="1"/>
      <c r="B35" s="17"/>
      <c r="C35" s="17"/>
      <c r="D35" s="17"/>
      <c r="E35" s="8"/>
      <c r="F35" s="5"/>
      <c r="G35" s="1"/>
      <c r="H35" s="1"/>
      <c r="I35" s="1"/>
    </row>
    <row r="36" spans="1:9">
      <c r="A36" s="1"/>
      <c r="B36" s="17"/>
      <c r="C36" s="17"/>
      <c r="D36" s="17"/>
      <c r="E36" s="8"/>
      <c r="F36" s="5"/>
      <c r="G36" s="1"/>
      <c r="H36" s="1"/>
      <c r="I36" s="1"/>
    </row>
    <row r="37" spans="1:9">
      <c r="A37" s="1"/>
      <c r="B37" s="17"/>
      <c r="C37" s="17"/>
      <c r="D37" s="17"/>
      <c r="E37" s="8"/>
      <c r="F37" s="5"/>
      <c r="G37" s="1"/>
      <c r="H37" s="1"/>
      <c r="I37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2014-12-16T06:47:26Z</dcterms:modified>
</cp:coreProperties>
</file>