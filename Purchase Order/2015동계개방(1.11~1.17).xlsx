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755" windowHeight="4650" activeTab="1"/>
  </bookViews>
  <sheets>
    <sheet name="일" sheetId="1" r:id="rId1"/>
    <sheet name="월 (2)" sheetId="8" r:id="rId2"/>
    <sheet name="화" sheetId="6" r:id="rId3"/>
    <sheet name="수" sheetId="7" r:id="rId4"/>
    <sheet name="목" sheetId="9" r:id="rId5"/>
    <sheet name="금" sheetId="10" r:id="rId6"/>
    <sheet name="토" sheetId="11" r:id="rId7"/>
    <sheet name="토 (2)" sheetId="12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'월 (2)'!$A$2:$G$2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(2)'!$A$2:$G$2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12" i="8"/>
  <c r="F11"/>
  <c r="F16" i="12"/>
  <c r="F15"/>
  <c r="F14"/>
  <c r="F13"/>
  <c r="F17"/>
  <c r="F12"/>
  <c r="F11"/>
  <c r="F10"/>
  <c r="F9"/>
  <c r="F8"/>
  <c r="F7"/>
  <c r="F6"/>
  <c r="F5"/>
  <c r="F4"/>
  <c r="F3"/>
  <c r="F24" i="11"/>
  <c r="F26"/>
  <c r="F22"/>
  <c r="F19"/>
  <c r="F11"/>
  <c r="F10"/>
  <c r="F40"/>
  <c r="F39"/>
  <c r="F38"/>
  <c r="F37"/>
  <c r="F36"/>
  <c r="F35"/>
  <c r="F34"/>
  <c r="F33"/>
  <c r="F32"/>
  <c r="F31"/>
  <c r="F30"/>
  <c r="F29"/>
  <c r="F28"/>
  <c r="F21"/>
  <c r="F20"/>
  <c r="F18"/>
  <c r="F17"/>
  <c r="F16"/>
  <c r="F15"/>
  <c r="F13"/>
  <c r="F12"/>
  <c r="F9"/>
  <c r="F8"/>
  <c r="F7"/>
  <c r="F6"/>
  <c r="F5"/>
  <c r="F4"/>
  <c r="F3"/>
  <c r="F34" i="10"/>
  <c r="F33"/>
  <c r="F32"/>
  <c r="F31"/>
  <c r="F30"/>
  <c r="F29"/>
  <c r="F28"/>
  <c r="F21"/>
  <c r="F22"/>
  <c r="F23"/>
  <c r="F24"/>
  <c r="F25"/>
  <c r="F26"/>
  <c r="F27"/>
  <c r="F4"/>
  <c r="F5"/>
  <c r="F6"/>
  <c r="F7"/>
  <c r="F8"/>
  <c r="F9"/>
  <c r="F10"/>
  <c r="F11"/>
  <c r="F3"/>
  <c r="F39" i="9"/>
  <c r="F37"/>
  <c r="F36"/>
  <c r="F13"/>
  <c r="F12"/>
  <c r="F19" i="7"/>
  <c r="F13"/>
  <c r="F12"/>
  <c r="F42" i="8"/>
  <c r="F41"/>
  <c r="F40"/>
  <c r="F36"/>
  <c r="F32"/>
  <c r="F15"/>
  <c r="F14"/>
  <c r="F26" i="1"/>
  <c r="F13" i="10"/>
  <c r="F14"/>
  <c r="F15"/>
  <c r="F16"/>
  <c r="F17"/>
  <c r="F18"/>
  <c r="F19"/>
  <c r="F40" i="9"/>
  <c r="F38"/>
  <c r="F35"/>
  <c r="F34"/>
  <c r="F33"/>
  <c r="F32"/>
  <c r="F31"/>
  <c r="F30"/>
  <c r="F29"/>
  <c r="F28"/>
  <c r="F27"/>
  <c r="F26"/>
  <c r="F33" i="8"/>
  <c r="F34"/>
  <c r="F35"/>
  <c r="F37"/>
  <c r="F38"/>
  <c r="F39"/>
  <c r="F43"/>
  <c r="F31"/>
  <c r="F28"/>
  <c r="F27"/>
  <c r="F26"/>
  <c r="F25" i="9"/>
  <c r="F23"/>
  <c r="F22"/>
  <c r="F21"/>
  <c r="F20"/>
  <c r="F19"/>
  <c r="F18"/>
  <c r="F17"/>
  <c r="F14"/>
  <c r="F11"/>
  <c r="F10"/>
  <c r="F9"/>
  <c r="F8"/>
  <c r="F7"/>
  <c r="F6"/>
  <c r="F5"/>
  <c r="F4"/>
  <c r="F3"/>
  <c r="F35" i="7"/>
  <c r="F29" i="8"/>
  <c r="F25"/>
  <c r="F24"/>
  <c r="F23"/>
  <c r="F22"/>
  <c r="F21"/>
  <c r="F20"/>
  <c r="F19"/>
  <c r="F18"/>
  <c r="F16"/>
  <c r="F13"/>
  <c r="F10"/>
  <c r="F9"/>
  <c r="F8"/>
  <c r="F7"/>
  <c r="F6"/>
  <c r="F5"/>
  <c r="F4"/>
  <c r="F3"/>
  <c r="F11" i="1"/>
  <c r="F10"/>
  <c r="F9"/>
  <c r="F13"/>
  <c r="F14"/>
  <c r="F15"/>
  <c r="F16"/>
  <c r="F17"/>
  <c r="F18"/>
  <c r="F19"/>
  <c r="F20"/>
  <c r="F21"/>
  <c r="F22"/>
  <c r="F23"/>
  <c r="F24"/>
  <c r="F25"/>
  <c r="F27"/>
  <c r="F4" i="7"/>
  <c r="F5"/>
  <c r="F6"/>
  <c r="F7"/>
  <c r="F8"/>
  <c r="F9"/>
  <c r="F10"/>
  <c r="F11"/>
  <c r="F14"/>
  <c r="F36"/>
  <c r="F34"/>
  <c r="F33"/>
  <c r="F32"/>
  <c r="F31"/>
  <c r="F30"/>
  <c r="F29"/>
  <c r="F28"/>
  <c r="F27"/>
  <c r="F26"/>
  <c r="F24"/>
  <c r="F23"/>
  <c r="F22"/>
  <c r="F21"/>
  <c r="F20"/>
  <c r="F18"/>
  <c r="F17"/>
  <c r="F16"/>
  <c r="F3"/>
  <c r="F35" i="6"/>
  <c r="F33"/>
  <c r="F26"/>
  <c r="F27"/>
  <c r="F28"/>
  <c r="F29"/>
  <c r="F30"/>
  <c r="F31"/>
  <c r="F32"/>
  <c r="F34"/>
  <c r="F17"/>
  <c r="F18"/>
  <c r="F19"/>
  <c r="F20"/>
  <c r="F21"/>
  <c r="F22"/>
  <c r="F23"/>
  <c r="F24"/>
  <c r="F16"/>
  <c r="F14"/>
  <c r="F13"/>
  <c r="F12"/>
  <c r="F11"/>
  <c r="F10"/>
  <c r="F9"/>
  <c r="F8"/>
  <c r="F7"/>
  <c r="F4"/>
  <c r="F5"/>
  <c r="F6"/>
  <c r="F3"/>
  <c r="F8" i="1"/>
  <c r="F7"/>
  <c r="F6"/>
  <c r="F4"/>
  <c r="F5"/>
  <c r="F3"/>
</calcChain>
</file>

<file path=xl/sharedStrings.xml><?xml version="1.0" encoding="utf-8"?>
<sst xmlns="http://schemas.openxmlformats.org/spreadsheetml/2006/main" count="478" uniqueCount="285">
  <si>
    <t>날짜</t>
    <phoneticPr fontId="1" type="noConversion"/>
  </si>
  <si>
    <t>메 뉴</t>
    <phoneticPr fontId="1" type="noConversion"/>
  </si>
  <si>
    <t>재 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</si>
  <si>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</si>
  <si>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</si>
  <si>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</si>
  <si>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</si>
  <si>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</si>
  <si>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순두부찌개</t>
    <phoneticPr fontId="1" type="noConversion"/>
  </si>
  <si>
    <t>순두부</t>
    <phoneticPr fontId="1" type="noConversion"/>
  </si>
  <si>
    <t>팽이버섯</t>
    <phoneticPr fontId="1" type="noConversion"/>
  </si>
  <si>
    <t>호박</t>
    <phoneticPr fontId="1" type="noConversion"/>
  </si>
  <si>
    <t>예상식수</t>
    <phoneticPr fontId="1" type="noConversion"/>
  </si>
  <si>
    <t>달걀</t>
    <phoneticPr fontId="1" type="noConversion"/>
  </si>
  <si>
    <t>가자미조림</t>
    <phoneticPr fontId="1" type="noConversion"/>
  </si>
  <si>
    <t>가자미</t>
    <phoneticPr fontId="1" type="noConversion"/>
  </si>
  <si>
    <t>무</t>
    <phoneticPr fontId="1" type="noConversion"/>
  </si>
  <si>
    <t>양파</t>
    <phoneticPr fontId="1" type="noConversion"/>
  </si>
  <si>
    <t>대파적당량</t>
    <phoneticPr fontId="1" type="noConversion"/>
  </si>
  <si>
    <t>배추김치</t>
    <phoneticPr fontId="1" type="noConversion"/>
  </si>
  <si>
    <t>중식</t>
    <phoneticPr fontId="1" type="noConversion"/>
  </si>
  <si>
    <t>석식</t>
    <phoneticPr fontId="1" type="noConversion"/>
  </si>
  <si>
    <t>화</t>
    <phoneticPr fontId="1" type="noConversion"/>
  </si>
  <si>
    <t>꽃게탕</t>
    <phoneticPr fontId="1" type="noConversion"/>
  </si>
  <si>
    <t>꽃게</t>
    <phoneticPr fontId="1" type="noConversion"/>
  </si>
  <si>
    <t>두절콩나물</t>
    <phoneticPr fontId="1" type="noConversion"/>
  </si>
  <si>
    <t>미나리</t>
    <phoneticPr fontId="1" type="noConversion"/>
  </si>
  <si>
    <t>대파</t>
    <phoneticPr fontId="1" type="noConversion"/>
  </si>
  <si>
    <t>버섯우불고기</t>
    <phoneticPr fontId="1" type="noConversion"/>
  </si>
  <si>
    <t>우둔불고기</t>
    <phoneticPr fontId="1" type="noConversion"/>
  </si>
  <si>
    <t>느타리버섯</t>
    <phoneticPr fontId="1" type="noConversion"/>
  </si>
  <si>
    <t>당근</t>
    <phoneticPr fontId="1" type="noConversion"/>
  </si>
  <si>
    <t>홍고추,대파적당량</t>
    <phoneticPr fontId="1" type="noConversion"/>
  </si>
  <si>
    <t>맛김치</t>
    <phoneticPr fontId="1" type="noConversion"/>
  </si>
  <si>
    <t>콩나물밥</t>
    <phoneticPr fontId="1" type="noConversion"/>
  </si>
  <si>
    <t>콩나물</t>
    <phoneticPr fontId="1" type="noConversion"/>
  </si>
  <si>
    <t>우육채</t>
    <phoneticPr fontId="1" type="noConversion"/>
  </si>
  <si>
    <t>부추</t>
    <phoneticPr fontId="1" type="noConversion"/>
  </si>
  <si>
    <t>유부</t>
    <phoneticPr fontId="1" type="noConversion"/>
  </si>
  <si>
    <t>고등어</t>
    <phoneticPr fontId="1" type="noConversion"/>
  </si>
  <si>
    <t>치커리사과샐러드</t>
    <phoneticPr fontId="1" type="noConversion"/>
  </si>
  <si>
    <t>치커리</t>
    <phoneticPr fontId="1" type="noConversion"/>
  </si>
  <si>
    <t>사과</t>
    <phoneticPr fontId="1" type="noConversion"/>
  </si>
  <si>
    <t>적채</t>
    <phoneticPr fontId="1" type="noConversion"/>
  </si>
  <si>
    <t>수</t>
    <phoneticPr fontId="1" type="noConversion"/>
  </si>
  <si>
    <t>호박된장찌개</t>
    <phoneticPr fontId="1" type="noConversion"/>
  </si>
  <si>
    <t>호박</t>
    <phoneticPr fontId="1" type="noConversion"/>
  </si>
  <si>
    <t>판두부</t>
    <phoneticPr fontId="1" type="noConversion"/>
  </si>
  <si>
    <t>감자</t>
    <phoneticPr fontId="1" type="noConversion"/>
  </si>
  <si>
    <t>양파</t>
    <phoneticPr fontId="1" type="noConversion"/>
  </si>
  <si>
    <t>멸치</t>
    <phoneticPr fontId="1" type="noConversion"/>
  </si>
  <si>
    <t>멸치꽈리고추볶음</t>
    <phoneticPr fontId="1" type="noConversion"/>
  </si>
  <si>
    <t>꽈리고추</t>
    <phoneticPr fontId="1" type="noConversion"/>
  </si>
  <si>
    <t>감자볶음</t>
    <phoneticPr fontId="1" type="noConversion"/>
  </si>
  <si>
    <t>당근</t>
    <phoneticPr fontId="1" type="noConversion"/>
  </si>
  <si>
    <t>배추김치</t>
    <phoneticPr fontId="1" type="noConversion"/>
  </si>
  <si>
    <t>수</t>
    <phoneticPr fontId="1" type="noConversion"/>
  </si>
  <si>
    <t>중식</t>
    <phoneticPr fontId="1" type="noConversion"/>
  </si>
  <si>
    <t>기장밥</t>
    <phoneticPr fontId="1" type="noConversion"/>
  </si>
  <si>
    <t>기장</t>
    <phoneticPr fontId="1" type="noConversion"/>
  </si>
  <si>
    <t>안동찜닭</t>
    <phoneticPr fontId="1" type="noConversion"/>
  </si>
  <si>
    <t>닭토막</t>
    <phoneticPr fontId="1" type="noConversion"/>
  </si>
  <si>
    <t>당면</t>
    <phoneticPr fontId="1" type="noConversion"/>
  </si>
  <si>
    <t>골뱅이야채무침</t>
    <phoneticPr fontId="1" type="noConversion"/>
  </si>
  <si>
    <t>골뱅이</t>
    <phoneticPr fontId="1" type="noConversion"/>
  </si>
  <si>
    <t>양배추</t>
    <phoneticPr fontId="1" type="noConversion"/>
  </si>
  <si>
    <t>깻잎</t>
    <phoneticPr fontId="1" type="noConversion"/>
  </si>
  <si>
    <t>적채</t>
    <phoneticPr fontId="1" type="noConversion"/>
  </si>
  <si>
    <t>홍고추적당량</t>
    <phoneticPr fontId="1" type="noConversion"/>
  </si>
  <si>
    <t>당근/양파 각</t>
    <phoneticPr fontId="1" type="noConversion"/>
  </si>
  <si>
    <t>대파적당량</t>
    <phoneticPr fontId="1" type="noConversion"/>
  </si>
  <si>
    <t>카레가루</t>
    <phoneticPr fontId="1" type="noConversion"/>
  </si>
  <si>
    <t>우동소스</t>
    <phoneticPr fontId="1" type="noConversion"/>
  </si>
  <si>
    <t>우동건더기</t>
    <phoneticPr fontId="1" type="noConversion"/>
  </si>
  <si>
    <t>보리밥</t>
    <phoneticPr fontId="1" type="noConversion"/>
  </si>
  <si>
    <t>보리</t>
    <phoneticPr fontId="1" type="noConversion"/>
  </si>
  <si>
    <t>두부</t>
    <phoneticPr fontId="1" type="noConversion"/>
  </si>
  <si>
    <t>부들어묵탕</t>
    <phoneticPr fontId="1" type="noConversion"/>
  </si>
  <si>
    <t>식용유</t>
    <phoneticPr fontId="1" type="noConversion"/>
  </si>
  <si>
    <t xml:space="preserve">  </t>
    <phoneticPr fontId="1" type="noConversion"/>
  </si>
  <si>
    <t>콩나물무침</t>
    <phoneticPr fontId="1" type="noConversion"/>
  </si>
  <si>
    <t>콩나물</t>
    <phoneticPr fontId="1" type="noConversion"/>
  </si>
  <si>
    <t>당근</t>
    <phoneticPr fontId="1" type="noConversion"/>
  </si>
  <si>
    <t>들깨</t>
    <phoneticPr fontId="1" type="noConversion"/>
  </si>
  <si>
    <t>배추김치</t>
    <phoneticPr fontId="1" type="noConversion"/>
  </si>
  <si>
    <t>실속탕수육</t>
    <phoneticPr fontId="1" type="noConversion"/>
  </si>
  <si>
    <t>양상추</t>
    <phoneticPr fontId="1" type="noConversion"/>
  </si>
  <si>
    <t>케첩</t>
    <phoneticPr fontId="1" type="noConversion"/>
  </si>
  <si>
    <t>들깨무채국</t>
    <phoneticPr fontId="1" type="noConversion"/>
  </si>
  <si>
    <t>새알심만두국</t>
    <phoneticPr fontId="1" type="noConversion"/>
  </si>
  <si>
    <t>돼지고기두루치기</t>
    <phoneticPr fontId="1" type="noConversion"/>
  </si>
  <si>
    <t>돈육불고기</t>
    <phoneticPr fontId="1" type="noConversion"/>
  </si>
  <si>
    <t>양념깻잎</t>
    <phoneticPr fontId="1" type="noConversion"/>
  </si>
  <si>
    <t>깍두기</t>
    <phoneticPr fontId="1" type="noConversion"/>
  </si>
  <si>
    <t>깍두기</t>
    <phoneticPr fontId="1" type="noConversion"/>
  </si>
  <si>
    <t>양파</t>
    <phoneticPr fontId="1" type="noConversion"/>
  </si>
  <si>
    <t>목</t>
    <phoneticPr fontId="1" type="noConversion"/>
  </si>
  <si>
    <t>금</t>
    <phoneticPr fontId="1" type="noConversion"/>
  </si>
  <si>
    <t>두부된장국</t>
    <phoneticPr fontId="1" type="noConversion"/>
  </si>
  <si>
    <t>달걀후라이</t>
    <phoneticPr fontId="1" type="noConversion"/>
  </si>
  <si>
    <t>도토리묵무침</t>
    <phoneticPr fontId="1" type="noConversion"/>
  </si>
  <si>
    <t>도토리묵</t>
    <phoneticPr fontId="1" type="noConversion"/>
  </si>
  <si>
    <t>참나물</t>
    <phoneticPr fontId="1" type="noConversion"/>
  </si>
  <si>
    <t>양파</t>
    <phoneticPr fontId="1" type="noConversion"/>
  </si>
  <si>
    <t>수수밥</t>
    <phoneticPr fontId="1" type="noConversion"/>
  </si>
  <si>
    <t>수수</t>
    <phoneticPr fontId="1" type="noConversion"/>
  </si>
  <si>
    <t>참치</t>
    <phoneticPr fontId="1" type="noConversion"/>
  </si>
  <si>
    <t>양파,대파적당량</t>
    <phoneticPr fontId="1" type="noConversion"/>
  </si>
  <si>
    <t>닭볶음탕</t>
    <phoneticPr fontId="1" type="noConversion"/>
  </si>
  <si>
    <t>명엽채볶음</t>
    <phoneticPr fontId="1" type="noConversion"/>
  </si>
  <si>
    <t>명엽채</t>
    <phoneticPr fontId="1" type="noConversion"/>
  </si>
  <si>
    <t>깍두기</t>
    <phoneticPr fontId="1" type="noConversion"/>
  </si>
  <si>
    <t>사각어묵</t>
    <phoneticPr fontId="1" type="noConversion"/>
  </si>
  <si>
    <t>배추김치</t>
    <phoneticPr fontId="1" type="noConversion"/>
  </si>
  <si>
    <t>서리태</t>
    <phoneticPr fontId="1" type="noConversion"/>
  </si>
  <si>
    <t>서리태밥</t>
    <phoneticPr fontId="1" type="noConversion"/>
  </si>
  <si>
    <t>콩나물국</t>
    <phoneticPr fontId="1" type="noConversion"/>
  </si>
  <si>
    <t>닭갈비</t>
    <phoneticPr fontId="1" type="noConversion"/>
  </si>
  <si>
    <t>닭다리살</t>
    <phoneticPr fontId="1" type="noConversion"/>
  </si>
  <si>
    <t>고구마</t>
    <phoneticPr fontId="1" type="noConversion"/>
  </si>
  <si>
    <t>떡볶이떡</t>
    <phoneticPr fontId="1" type="noConversion"/>
  </si>
  <si>
    <t>토</t>
    <phoneticPr fontId="1" type="noConversion"/>
  </si>
  <si>
    <t>김자반</t>
    <phoneticPr fontId="1" type="noConversion"/>
  </si>
  <si>
    <t>1/11 (일) 발주서</t>
    <phoneticPr fontId="1" type="noConversion"/>
  </si>
  <si>
    <t>부들어묵</t>
    <phoneticPr fontId="1" type="noConversion"/>
  </si>
  <si>
    <t>어묵</t>
    <phoneticPr fontId="1" type="noConversion"/>
  </si>
  <si>
    <t>쑥갓</t>
    <phoneticPr fontId="1" type="noConversion"/>
  </si>
  <si>
    <t>재고사용</t>
    <phoneticPr fontId="1" type="noConversion"/>
  </si>
  <si>
    <t>당근</t>
    <phoneticPr fontId="1" type="noConversion"/>
  </si>
  <si>
    <t>흑미</t>
    <phoneticPr fontId="1" type="noConversion"/>
  </si>
  <si>
    <t>돈등뼈</t>
    <phoneticPr fontId="1" type="noConversion"/>
  </si>
  <si>
    <t>얼갈이</t>
    <phoneticPr fontId="1" type="noConversion"/>
  </si>
  <si>
    <t>깻잎순</t>
    <phoneticPr fontId="1" type="noConversion"/>
  </si>
  <si>
    <t>들깨가루</t>
    <phoneticPr fontId="1" type="noConversion"/>
  </si>
  <si>
    <t>땅콩</t>
    <phoneticPr fontId="1" type="noConversion"/>
  </si>
  <si>
    <t>마늘쫑무침</t>
    <phoneticPr fontId="1" type="noConversion"/>
  </si>
  <si>
    <t>마늘쫑</t>
    <phoneticPr fontId="1" type="noConversion"/>
  </si>
  <si>
    <t>1/12 (월) 발주서</t>
    <phoneticPr fontId="1" type="noConversion"/>
  </si>
  <si>
    <t>흑미밥</t>
    <phoneticPr fontId="1" type="noConversion"/>
  </si>
  <si>
    <t>등뼈감자탕</t>
    <phoneticPr fontId="1" type="noConversion"/>
  </si>
  <si>
    <t>돈육모듬강정</t>
    <phoneticPr fontId="1" type="noConversion"/>
  </si>
  <si>
    <t>떡튀김</t>
    <phoneticPr fontId="1" type="noConversion"/>
  </si>
  <si>
    <t>양념치킨소스</t>
    <phoneticPr fontId="1" type="noConversion"/>
  </si>
  <si>
    <t>양파</t>
    <phoneticPr fontId="1" type="noConversion"/>
  </si>
  <si>
    <t>깍두기</t>
    <phoneticPr fontId="1" type="noConversion"/>
  </si>
  <si>
    <t>/양념부추간장</t>
    <phoneticPr fontId="1" type="noConversion"/>
  </si>
  <si>
    <t>고등어조림</t>
    <phoneticPr fontId="1" type="noConversion"/>
  </si>
  <si>
    <t>열무</t>
    <phoneticPr fontId="1" type="noConversion"/>
  </si>
  <si>
    <t>깍두기</t>
    <phoneticPr fontId="1" type="noConversion"/>
  </si>
  <si>
    <t>깍두기</t>
    <phoneticPr fontId="1" type="noConversion"/>
  </si>
  <si>
    <t>당근</t>
    <phoneticPr fontId="1" type="noConversion"/>
  </si>
  <si>
    <t>유부국</t>
    <phoneticPr fontId="1" type="noConversion"/>
  </si>
  <si>
    <t>무</t>
    <phoneticPr fontId="1" type="noConversion"/>
  </si>
  <si>
    <t>사과</t>
    <phoneticPr fontId="1" type="noConversion"/>
  </si>
  <si>
    <t>양파적당량</t>
    <phoneticPr fontId="1" type="noConversion"/>
  </si>
  <si>
    <t>요구르트드레싱</t>
    <phoneticPr fontId="1" type="noConversion"/>
  </si>
  <si>
    <t>적채/당근 각</t>
    <phoneticPr fontId="1" type="noConversion"/>
  </si>
  <si>
    <t>1/13 (화) 발주서</t>
    <phoneticPr fontId="1" type="noConversion"/>
  </si>
  <si>
    <t>들깨미역국</t>
    <phoneticPr fontId="1" type="noConversion"/>
  </si>
  <si>
    <t>건미역</t>
    <phoneticPr fontId="1" type="noConversion"/>
  </si>
  <si>
    <t>오징어초무침</t>
    <phoneticPr fontId="1" type="noConversion"/>
  </si>
  <si>
    <t>오징어</t>
    <phoneticPr fontId="1" type="noConversion"/>
  </si>
  <si>
    <t>재고사용</t>
    <phoneticPr fontId="1" type="noConversion"/>
  </si>
  <si>
    <t>열무나물무침</t>
    <phoneticPr fontId="1" type="noConversion"/>
  </si>
  <si>
    <t>알타리김치</t>
    <phoneticPr fontId="1" type="noConversion"/>
  </si>
  <si>
    <t>알타리</t>
    <phoneticPr fontId="1" type="noConversion"/>
  </si>
  <si>
    <t>시금치국</t>
    <phoneticPr fontId="1" type="noConversion"/>
  </si>
  <si>
    <t>시금치</t>
    <phoneticPr fontId="1" type="noConversion"/>
  </si>
  <si>
    <t>깐쪽파</t>
    <phoneticPr fontId="1" type="noConversion"/>
  </si>
  <si>
    <t>열무김치</t>
    <phoneticPr fontId="1" type="noConversion"/>
  </si>
  <si>
    <t>1/14 (수) 발주서</t>
    <phoneticPr fontId="1" type="noConversion"/>
  </si>
  <si>
    <t>팽이미소국</t>
    <phoneticPr fontId="1" type="noConversion"/>
  </si>
  <si>
    <t>팽이버섯</t>
    <phoneticPr fontId="1" type="noConversion"/>
  </si>
  <si>
    <t>수제돈까스</t>
    <phoneticPr fontId="1" type="noConversion"/>
  </si>
  <si>
    <t>수제돈까스</t>
    <phoneticPr fontId="1" type="noConversion"/>
  </si>
  <si>
    <t>돈까스소스</t>
    <phoneticPr fontId="1" type="noConversion"/>
  </si>
  <si>
    <t>양송이버섯캔</t>
    <phoneticPr fontId="1" type="noConversion"/>
  </si>
  <si>
    <t>과일샐러드</t>
    <phoneticPr fontId="1" type="noConversion"/>
  </si>
  <si>
    <t>사과</t>
    <phoneticPr fontId="1" type="noConversion"/>
  </si>
  <si>
    <t>귤</t>
    <phoneticPr fontId="1" type="noConversion"/>
  </si>
  <si>
    <t>감</t>
    <phoneticPr fontId="1" type="noConversion"/>
  </si>
  <si>
    <t>키위</t>
    <phoneticPr fontId="1" type="noConversion"/>
  </si>
  <si>
    <t>버섯두부조림</t>
    <phoneticPr fontId="1" type="noConversion"/>
  </si>
  <si>
    <t>팽이버섯</t>
    <phoneticPr fontId="1" type="noConversion"/>
  </si>
  <si>
    <t>건새우아욱국</t>
    <phoneticPr fontId="1" type="noConversion"/>
  </si>
  <si>
    <t>건새우</t>
    <phoneticPr fontId="1" type="noConversion"/>
  </si>
  <si>
    <t>아욱</t>
    <phoneticPr fontId="1" type="noConversion"/>
  </si>
  <si>
    <t>대파적당량</t>
    <phoneticPr fontId="1" type="noConversion"/>
  </si>
  <si>
    <t>옛날소세지</t>
    <phoneticPr fontId="1" type="noConversion"/>
  </si>
  <si>
    <t>옛날소세지전</t>
    <phoneticPr fontId="1" type="noConversion"/>
  </si>
  <si>
    <t>1/15 (목) 발주서</t>
    <phoneticPr fontId="1" type="noConversion"/>
  </si>
  <si>
    <t>쇠고기우둔</t>
    <phoneticPr fontId="1" type="noConversion"/>
  </si>
  <si>
    <t>호박</t>
    <phoneticPr fontId="1" type="noConversion"/>
  </si>
  <si>
    <t>우동국</t>
    <phoneticPr fontId="1" type="noConversion"/>
  </si>
  <si>
    <t>쑥갓</t>
    <phoneticPr fontId="1" type="noConversion"/>
  </si>
  <si>
    <t>식용유</t>
    <phoneticPr fontId="1" type="noConversion"/>
  </si>
  <si>
    <t>요구르트</t>
    <phoneticPr fontId="1" type="noConversion"/>
  </si>
  <si>
    <t>60개</t>
    <phoneticPr fontId="1" type="noConversion"/>
  </si>
  <si>
    <t>꽁치구이/와사비</t>
    <phoneticPr fontId="1" type="noConversion"/>
  </si>
  <si>
    <t>꽁치</t>
    <phoneticPr fontId="1" type="noConversion"/>
  </si>
  <si>
    <t>전판으로 구우세요</t>
    <phoneticPr fontId="1" type="noConversion"/>
  </si>
  <si>
    <t>기장</t>
    <phoneticPr fontId="1" type="noConversion"/>
  </si>
  <si>
    <t>참치김치찌개</t>
    <phoneticPr fontId="1" type="noConversion"/>
  </si>
  <si>
    <t>오징어커틀릿</t>
    <phoneticPr fontId="1" type="noConversion"/>
  </si>
  <si>
    <t>타르타르소스</t>
    <phoneticPr fontId="1" type="noConversion"/>
  </si>
  <si>
    <t>야채샐러드</t>
    <phoneticPr fontId="1" type="noConversion"/>
  </si>
  <si>
    <t>방울토마토</t>
    <phoneticPr fontId="1" type="noConversion"/>
  </si>
  <si>
    <t>키위드레싱</t>
    <phoneticPr fontId="1" type="noConversion"/>
  </si>
  <si>
    <t>1/16 (금) 발주서</t>
    <phoneticPr fontId="1" type="noConversion"/>
  </si>
  <si>
    <t>포크소세지</t>
    <phoneticPr fontId="1" type="noConversion"/>
  </si>
  <si>
    <t>포크소세지/케첩</t>
    <phoneticPr fontId="1" type="noConversion"/>
  </si>
  <si>
    <t>새알심</t>
    <phoneticPr fontId="1" type="noConversion"/>
  </si>
  <si>
    <t>연두부/간장양념</t>
    <phoneticPr fontId="1" type="noConversion"/>
  </si>
  <si>
    <t>연두부</t>
    <phoneticPr fontId="1" type="noConversion"/>
  </si>
  <si>
    <t>간장양념</t>
    <phoneticPr fontId="1" type="noConversion"/>
  </si>
  <si>
    <t>토</t>
    <phoneticPr fontId="1" type="noConversion"/>
  </si>
  <si>
    <t>중식</t>
    <phoneticPr fontId="1" type="noConversion"/>
  </si>
  <si>
    <t>자장밥</t>
    <phoneticPr fontId="1" type="noConversion"/>
  </si>
  <si>
    <t>자장가루</t>
    <phoneticPr fontId="1" type="noConversion"/>
  </si>
  <si>
    <t>후지</t>
    <phoneticPr fontId="1" type="noConversion"/>
  </si>
  <si>
    <t>감자</t>
    <phoneticPr fontId="1" type="noConversion"/>
  </si>
  <si>
    <t>호박</t>
    <phoneticPr fontId="1" type="noConversion"/>
  </si>
  <si>
    <t>미소된장국</t>
    <phoneticPr fontId="1" type="noConversion"/>
  </si>
  <si>
    <t>떡볶이</t>
    <phoneticPr fontId="1" type="noConversion"/>
  </si>
  <si>
    <t>떡볶이떡</t>
    <phoneticPr fontId="1" type="noConversion"/>
  </si>
  <si>
    <t>사각어묵</t>
    <phoneticPr fontId="1" type="noConversion"/>
  </si>
  <si>
    <t>양배추</t>
    <phoneticPr fontId="1" type="noConversion"/>
  </si>
  <si>
    <t>단무지</t>
    <phoneticPr fontId="1" type="noConversion"/>
  </si>
  <si>
    <t>배추김치</t>
    <phoneticPr fontId="1" type="noConversion"/>
  </si>
  <si>
    <t>재고사용</t>
    <phoneticPr fontId="1" type="noConversion"/>
  </si>
  <si>
    <t>1/17 (토) 발주서</t>
    <phoneticPr fontId="1" type="noConversion"/>
  </si>
  <si>
    <t>차조밥</t>
    <phoneticPr fontId="1" type="noConversion"/>
  </si>
  <si>
    <t>차조</t>
    <phoneticPr fontId="1" type="noConversion"/>
  </si>
  <si>
    <t>삼색수제비</t>
    <phoneticPr fontId="1" type="noConversion"/>
  </si>
  <si>
    <t>삼색수제비국</t>
    <phoneticPr fontId="1" type="noConversion"/>
  </si>
  <si>
    <t>닭찜</t>
    <phoneticPr fontId="1" type="noConversion"/>
  </si>
  <si>
    <t>계육토막</t>
    <phoneticPr fontId="1" type="noConversion"/>
  </si>
  <si>
    <t>간장으로</t>
    <phoneticPr fontId="1" type="noConversion"/>
  </si>
  <si>
    <t>숙주나물무침</t>
    <phoneticPr fontId="1" type="noConversion"/>
  </si>
  <si>
    <t>숙주나물</t>
    <phoneticPr fontId="1" type="noConversion"/>
  </si>
  <si>
    <t>맛살</t>
    <phoneticPr fontId="1" type="noConversion"/>
  </si>
  <si>
    <t>일</t>
    <phoneticPr fontId="1" type="noConversion"/>
  </si>
  <si>
    <t>일</t>
    <phoneticPr fontId="1" type="noConversion"/>
  </si>
  <si>
    <t>셀프샌드위치</t>
    <phoneticPr fontId="1" type="noConversion"/>
  </si>
  <si>
    <t>식빵</t>
    <phoneticPr fontId="1" type="noConversion"/>
  </si>
  <si>
    <t>양배추</t>
    <phoneticPr fontId="1" type="noConversion"/>
  </si>
  <si>
    <t>옥수수캔</t>
    <phoneticPr fontId="1" type="noConversion"/>
  </si>
  <si>
    <t>슬라이스햄</t>
    <phoneticPr fontId="1" type="noConversion"/>
  </si>
  <si>
    <t>치즈</t>
    <phoneticPr fontId="1" type="noConversion"/>
  </si>
  <si>
    <t>마요네즈</t>
    <phoneticPr fontId="1" type="noConversion"/>
  </si>
  <si>
    <t>우유</t>
    <phoneticPr fontId="1" type="noConversion"/>
  </si>
  <si>
    <t>60개</t>
    <phoneticPr fontId="1" type="noConversion"/>
  </si>
  <si>
    <t>콘푸라이트</t>
    <phoneticPr fontId="1" type="noConversion"/>
  </si>
  <si>
    <t>삶은달걀</t>
    <phoneticPr fontId="1" type="noConversion"/>
  </si>
  <si>
    <t>2판</t>
    <phoneticPr fontId="1" type="noConversion"/>
  </si>
  <si>
    <t>흑미</t>
    <phoneticPr fontId="1" type="noConversion"/>
  </si>
  <si>
    <t>부대찌개</t>
    <phoneticPr fontId="1" type="noConversion"/>
  </si>
  <si>
    <t>부대찌개햄</t>
    <phoneticPr fontId="1" type="noConversion"/>
  </si>
  <si>
    <t>맛김치</t>
    <phoneticPr fontId="1" type="noConversion"/>
  </si>
  <si>
    <t>떡국떡</t>
    <phoneticPr fontId="1" type="noConversion"/>
  </si>
  <si>
    <t>두부</t>
    <phoneticPr fontId="1" type="noConversion"/>
  </si>
  <si>
    <t>오삼불고기</t>
    <phoneticPr fontId="1" type="noConversion"/>
  </si>
  <si>
    <t>오징어</t>
    <phoneticPr fontId="1" type="noConversion"/>
  </si>
  <si>
    <t>돈후지</t>
    <phoneticPr fontId="1" type="noConversion"/>
  </si>
  <si>
    <t>대파</t>
    <phoneticPr fontId="1" type="noConversion"/>
  </si>
  <si>
    <t>양배추쌈/쌈장</t>
    <phoneticPr fontId="1" type="noConversion"/>
  </si>
  <si>
    <t>육개장</t>
    <phoneticPr fontId="1" type="noConversion"/>
  </si>
  <si>
    <t>쇠고기국거리</t>
    <phoneticPr fontId="1" type="noConversion"/>
  </si>
  <si>
    <t>고사리</t>
    <phoneticPr fontId="1" type="noConversion"/>
  </si>
  <si>
    <t>어묵잡채</t>
    <phoneticPr fontId="1" type="noConversion"/>
  </si>
  <si>
    <t>당면</t>
    <phoneticPr fontId="1" type="noConversion"/>
  </si>
  <si>
    <t>도라지무침</t>
    <phoneticPr fontId="1" type="noConversion"/>
  </si>
  <si>
    <t>도라지</t>
    <phoneticPr fontId="1" type="noConversion"/>
  </si>
  <si>
    <t>빈달루카레밥</t>
    <phoneticPr fontId="1" type="noConversion"/>
  </si>
  <si>
    <t>야채치즈고로케/케첩</t>
    <phoneticPr fontId="1" type="noConversion"/>
  </si>
  <si>
    <t>야채치즈고로케</t>
    <phoneticPr fontId="1" type="noConversion"/>
  </si>
  <si>
    <t>재고사용</t>
    <phoneticPr fontId="1" type="noConversion"/>
  </si>
  <si>
    <t>2봉재고사용</t>
    <phoneticPr fontId="1" type="noConversion"/>
  </si>
  <si>
    <t>2봉</t>
    <phoneticPr fontId="1" type="noConversion"/>
  </si>
  <si>
    <t>당근적당량</t>
    <phoneticPr fontId="1" type="noConversion"/>
  </si>
  <si>
    <t>양파/당근 각</t>
    <phoneticPr fontId="1" type="noConversion"/>
  </si>
  <si>
    <t>오징어볼</t>
    <phoneticPr fontId="1" type="noConversion"/>
  </si>
  <si>
    <t>5봉재고사용</t>
    <phoneticPr fontId="1" type="noConversion"/>
  </si>
  <si>
    <t>재고사용</t>
    <phoneticPr fontId="1" type="noConversion"/>
  </si>
  <si>
    <t>튀김만두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</si>
</sst>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selection activeCell="E27" sqref="E27"/>
    </sheetView>
  </sheetViews>
  <sheetFormatPr defaultRowHeight="16.5"/>
  <cols>
    <col min="1" max="1" width="5.75" customWidth="1"/>
    <col min="2" max="2" width="5.5" customWidth="1"/>
    <col min="3" max="3" width="14.3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123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42015</v>
      </c>
      <c r="B3" s="1">
        <v>55</v>
      </c>
      <c r="C3" s="1" t="s">
        <v>8</v>
      </c>
      <c r="D3" s="1" t="s">
        <v>9</v>
      </c>
      <c r="E3" s="4">
        <v>50</v>
      </c>
      <c r="F3" s="5">
        <f>(B3*E3)/1000</f>
        <v>2.75</v>
      </c>
      <c r="G3" s="3"/>
    </row>
    <row r="4" spans="1:8">
      <c r="A4" s="1" t="s">
        <v>6</v>
      </c>
      <c r="B4" s="1">
        <v>55</v>
      </c>
      <c r="C4" s="1"/>
      <c r="D4" s="1" t="s">
        <v>13</v>
      </c>
      <c r="E4" s="4">
        <v>30</v>
      </c>
      <c r="F4" s="5">
        <f t="shared" ref="F4:F27" si="0">(B4*E4)/1000</f>
        <v>1.65</v>
      </c>
      <c r="G4" s="3"/>
    </row>
    <row r="5" spans="1:8">
      <c r="A5" s="1" t="s">
        <v>7</v>
      </c>
      <c r="B5" s="1">
        <v>55</v>
      </c>
      <c r="C5" s="1"/>
      <c r="D5" s="1" t="s">
        <v>10</v>
      </c>
      <c r="E5" s="4">
        <v>10</v>
      </c>
      <c r="F5" s="5">
        <f t="shared" si="0"/>
        <v>0.55000000000000004</v>
      </c>
      <c r="G5" s="3"/>
    </row>
    <row r="6" spans="1:8">
      <c r="A6" s="1"/>
      <c r="B6" s="1">
        <v>55</v>
      </c>
      <c r="C6" s="1" t="s">
        <v>14</v>
      </c>
      <c r="D6" s="1" t="s">
        <v>15</v>
      </c>
      <c r="E6" s="4">
        <v>100</v>
      </c>
      <c r="F6" s="5">
        <f t="shared" si="0"/>
        <v>5.5</v>
      </c>
      <c r="G6" s="3"/>
    </row>
    <row r="7" spans="1:8">
      <c r="A7" s="1"/>
      <c r="B7" s="1">
        <v>55</v>
      </c>
      <c r="C7" s="1"/>
      <c r="D7" s="1" t="s">
        <v>16</v>
      </c>
      <c r="E7" s="4">
        <v>15</v>
      </c>
      <c r="F7" s="5">
        <f t="shared" si="0"/>
        <v>0.82499999999999996</v>
      </c>
      <c r="G7" s="3"/>
    </row>
    <row r="8" spans="1:8">
      <c r="A8" s="1"/>
      <c r="B8" s="1">
        <v>55</v>
      </c>
      <c r="C8" s="1"/>
      <c r="D8" s="1" t="s">
        <v>17</v>
      </c>
      <c r="E8" s="4">
        <v>10</v>
      </c>
      <c r="F8" s="5">
        <f t="shared" si="0"/>
        <v>0.55000000000000004</v>
      </c>
      <c r="G8" s="3" t="s">
        <v>18</v>
      </c>
    </row>
    <row r="9" spans="1:8">
      <c r="A9" s="1"/>
      <c r="B9" s="1">
        <v>55</v>
      </c>
      <c r="C9" s="1" t="s">
        <v>80</v>
      </c>
      <c r="D9" s="1" t="s">
        <v>81</v>
      </c>
      <c r="E9" s="4">
        <v>50</v>
      </c>
      <c r="F9" s="5">
        <f t="shared" si="0"/>
        <v>2.75</v>
      </c>
      <c r="G9" s="3"/>
    </row>
    <row r="10" spans="1:8">
      <c r="A10" s="1"/>
      <c r="B10" s="1">
        <v>55</v>
      </c>
      <c r="C10" s="1"/>
      <c r="D10" s="1" t="s">
        <v>82</v>
      </c>
      <c r="E10" s="4">
        <v>5</v>
      </c>
      <c r="F10" s="5">
        <f t="shared" si="0"/>
        <v>0.27500000000000002</v>
      </c>
      <c r="G10" s="3"/>
    </row>
    <row r="11" spans="1:8">
      <c r="A11" s="1"/>
      <c r="B11" s="1">
        <v>55</v>
      </c>
      <c r="C11" s="1" t="s">
        <v>19</v>
      </c>
      <c r="D11" s="1" t="s">
        <v>19</v>
      </c>
      <c r="E11" s="4">
        <v>40</v>
      </c>
      <c r="F11" s="5">
        <f t="shared" si="0"/>
        <v>2.2000000000000002</v>
      </c>
      <c r="G11" s="3"/>
    </row>
    <row r="12" spans="1:8">
      <c r="A12" s="6"/>
      <c r="B12" s="6"/>
      <c r="C12" s="6"/>
      <c r="D12" s="6"/>
      <c r="E12" s="7"/>
      <c r="F12" s="8"/>
      <c r="G12" s="9"/>
    </row>
    <row r="13" spans="1:8">
      <c r="A13" s="2">
        <v>42015</v>
      </c>
      <c r="B13" s="1">
        <v>56</v>
      </c>
      <c r="C13" s="1" t="s">
        <v>74</v>
      </c>
      <c r="D13" s="1" t="s">
        <v>75</v>
      </c>
      <c r="E13" s="4">
        <v>2</v>
      </c>
      <c r="F13" s="5">
        <f t="shared" si="0"/>
        <v>0.112</v>
      </c>
      <c r="G13" s="3"/>
    </row>
    <row r="14" spans="1:8">
      <c r="A14" s="1" t="s">
        <v>6</v>
      </c>
      <c r="B14" s="1">
        <v>56</v>
      </c>
      <c r="C14" s="1" t="s">
        <v>77</v>
      </c>
      <c r="D14" s="1" t="s">
        <v>124</v>
      </c>
      <c r="E14" s="4">
        <v>20</v>
      </c>
      <c r="F14" s="5">
        <f t="shared" si="0"/>
        <v>1.1200000000000001</v>
      </c>
      <c r="G14" s="3"/>
    </row>
    <row r="15" spans="1:8">
      <c r="A15" s="1" t="s">
        <v>20</v>
      </c>
      <c r="B15" s="1">
        <v>56</v>
      </c>
      <c r="C15" s="1"/>
      <c r="D15" s="1" t="s">
        <v>125</v>
      </c>
      <c r="E15" s="4">
        <v>10</v>
      </c>
      <c r="F15" s="5">
        <f t="shared" si="0"/>
        <v>0.56000000000000005</v>
      </c>
      <c r="G15" s="3"/>
    </row>
    <row r="16" spans="1:8">
      <c r="A16" s="1"/>
      <c r="B16" s="1">
        <v>56</v>
      </c>
      <c r="C16" s="1"/>
      <c r="D16" s="1" t="s">
        <v>126</v>
      </c>
      <c r="E16" s="4">
        <v>10</v>
      </c>
      <c r="F16" s="5">
        <f t="shared" si="0"/>
        <v>0.56000000000000005</v>
      </c>
      <c r="G16" s="3"/>
    </row>
    <row r="17" spans="1:9">
      <c r="A17" s="1"/>
      <c r="B17" s="1">
        <v>56</v>
      </c>
      <c r="C17" s="1" t="s">
        <v>60</v>
      </c>
      <c r="D17" s="1" t="s">
        <v>61</v>
      </c>
      <c r="E17" s="4">
        <v>100</v>
      </c>
      <c r="F17" s="5">
        <f t="shared" si="0"/>
        <v>5.6</v>
      </c>
      <c r="G17" s="3"/>
      <c r="I17" t="s">
        <v>79</v>
      </c>
    </row>
    <row r="18" spans="1:9">
      <c r="A18" s="1"/>
      <c r="B18" s="1">
        <v>56</v>
      </c>
      <c r="C18" s="1"/>
      <c r="D18" s="1" t="s">
        <v>62</v>
      </c>
      <c r="E18" s="4">
        <v>25</v>
      </c>
      <c r="F18" s="5">
        <f t="shared" si="0"/>
        <v>1.4</v>
      </c>
      <c r="G18" s="3"/>
    </row>
    <row r="19" spans="1:9">
      <c r="A19" s="1"/>
      <c r="B19" s="1">
        <v>56</v>
      </c>
      <c r="C19" s="1"/>
      <c r="D19" s="1" t="s">
        <v>48</v>
      </c>
      <c r="E19" s="4">
        <v>30</v>
      </c>
      <c r="F19" s="5">
        <f t="shared" si="0"/>
        <v>1.68</v>
      </c>
      <c r="G19" s="3"/>
    </row>
    <row r="20" spans="1:9">
      <c r="A20" s="1"/>
      <c r="B20" s="1">
        <v>56</v>
      </c>
      <c r="C20" s="1"/>
      <c r="D20" s="1" t="s">
        <v>54</v>
      </c>
      <c r="E20" s="4">
        <v>20</v>
      </c>
      <c r="F20" s="5">
        <f t="shared" si="0"/>
        <v>1.1200000000000001</v>
      </c>
      <c r="G20" s="3"/>
    </row>
    <row r="21" spans="1:9">
      <c r="A21" s="1"/>
      <c r="B21" s="1">
        <v>56</v>
      </c>
      <c r="C21" s="1"/>
      <c r="D21" s="1" t="s">
        <v>49</v>
      </c>
      <c r="E21" s="4">
        <v>10</v>
      </c>
      <c r="F21" s="5">
        <f t="shared" si="0"/>
        <v>0.56000000000000005</v>
      </c>
      <c r="G21" s="3"/>
    </row>
    <row r="22" spans="1:9">
      <c r="A22" s="1"/>
      <c r="B22" s="1">
        <v>56</v>
      </c>
      <c r="C22" s="1" t="s">
        <v>63</v>
      </c>
      <c r="D22" s="1" t="s">
        <v>64</v>
      </c>
      <c r="E22" s="4">
        <v>100</v>
      </c>
      <c r="F22" s="5">
        <f t="shared" si="0"/>
        <v>5.6</v>
      </c>
      <c r="G22" s="3"/>
    </row>
    <row r="23" spans="1:9">
      <c r="A23" s="1"/>
      <c r="B23" s="1">
        <v>56</v>
      </c>
      <c r="C23" s="1"/>
      <c r="D23" s="1" t="s">
        <v>65</v>
      </c>
      <c r="E23" s="4">
        <v>30</v>
      </c>
      <c r="F23" s="5">
        <f t="shared" si="0"/>
        <v>1.68</v>
      </c>
      <c r="G23" s="3" t="s">
        <v>127</v>
      </c>
    </row>
    <row r="24" spans="1:9">
      <c r="A24" s="1"/>
      <c r="B24" s="1">
        <v>56</v>
      </c>
      <c r="C24" s="1"/>
      <c r="D24" s="1" t="s">
        <v>67</v>
      </c>
      <c r="E24" s="4">
        <v>5</v>
      </c>
      <c r="F24" s="5">
        <f t="shared" si="0"/>
        <v>0.28000000000000003</v>
      </c>
      <c r="G24" s="3"/>
    </row>
    <row r="25" spans="1:9">
      <c r="A25" s="1"/>
      <c r="B25" s="1">
        <v>56</v>
      </c>
      <c r="C25" s="1"/>
      <c r="D25" s="1" t="s">
        <v>66</v>
      </c>
      <c r="E25" s="4">
        <v>5</v>
      </c>
      <c r="F25" s="5">
        <f t="shared" si="0"/>
        <v>0.28000000000000003</v>
      </c>
      <c r="G25" s="3"/>
    </row>
    <row r="26" spans="1:9">
      <c r="A26" s="1"/>
      <c r="B26" s="1">
        <v>56</v>
      </c>
      <c r="C26" s="1"/>
      <c r="D26" s="1" t="s">
        <v>128</v>
      </c>
      <c r="E26" s="4">
        <v>5</v>
      </c>
      <c r="F26" s="5">
        <f t="shared" si="0"/>
        <v>0.28000000000000003</v>
      </c>
      <c r="G26" s="3"/>
    </row>
    <row r="27" spans="1:9">
      <c r="A27" s="1"/>
      <c r="B27" s="1">
        <v>56</v>
      </c>
      <c r="C27" s="1" t="s">
        <v>55</v>
      </c>
      <c r="D27" s="1" t="s">
        <v>55</v>
      </c>
      <c r="E27" s="4">
        <v>40</v>
      </c>
      <c r="F27" s="5">
        <f t="shared" si="0"/>
        <v>2.2400000000000002</v>
      </c>
      <c r="G27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tabSelected="1" topLeftCell="A3" workbookViewId="0">
      <selection activeCell="G13" sqref="G13"/>
    </sheetView>
  </sheetViews>
  <sheetFormatPr defaultRowHeight="16.5"/>
  <cols>
    <col min="1" max="1" width="5.75" customWidth="1"/>
    <col min="2" max="2" width="6.125" customWidth="1"/>
    <col min="3" max="3" width="15.62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137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42016</v>
      </c>
      <c r="B3" s="1">
        <v>56</v>
      </c>
      <c r="C3" s="1" t="s">
        <v>138</v>
      </c>
      <c r="D3" s="1" t="s">
        <v>129</v>
      </c>
      <c r="E3" s="4">
        <v>2</v>
      </c>
      <c r="F3" s="5">
        <f>(B3*E3)/1000</f>
        <v>0.112</v>
      </c>
      <c r="G3" s="3"/>
    </row>
    <row r="4" spans="1:8">
      <c r="A4" s="1" t="s">
        <v>6</v>
      </c>
      <c r="B4" s="1">
        <v>56</v>
      </c>
      <c r="C4" s="1" t="s">
        <v>139</v>
      </c>
      <c r="D4" s="1" t="s">
        <v>130</v>
      </c>
      <c r="E4" s="4">
        <v>150</v>
      </c>
      <c r="F4" s="5">
        <f t="shared" ref="F4:F29" si="0">(B4*E4)/1000</f>
        <v>8.4</v>
      </c>
      <c r="G4" s="3"/>
    </row>
    <row r="5" spans="1:8">
      <c r="A5" s="1" t="s">
        <v>21</v>
      </c>
      <c r="B5" s="1">
        <v>56</v>
      </c>
      <c r="C5" s="1"/>
      <c r="D5" s="1" t="s">
        <v>48</v>
      </c>
      <c r="E5" s="4">
        <v>40</v>
      </c>
      <c r="F5" s="5">
        <f t="shared" si="0"/>
        <v>2.2400000000000002</v>
      </c>
      <c r="G5" s="3"/>
    </row>
    <row r="6" spans="1:8">
      <c r="A6" s="1"/>
      <c r="B6" s="1">
        <v>56</v>
      </c>
      <c r="C6" s="10"/>
      <c r="D6" s="1" t="s">
        <v>131</v>
      </c>
      <c r="E6" s="4">
        <v>20</v>
      </c>
      <c r="F6" s="5">
        <f t="shared" si="0"/>
        <v>1.1200000000000001</v>
      </c>
      <c r="G6" s="3"/>
    </row>
    <row r="7" spans="1:8">
      <c r="A7" s="1"/>
      <c r="B7" s="1">
        <v>56</v>
      </c>
      <c r="C7" s="1"/>
      <c r="D7" s="1" t="s">
        <v>132</v>
      </c>
      <c r="E7" s="4">
        <v>10</v>
      </c>
      <c r="F7" s="5">
        <f t="shared" si="0"/>
        <v>0.56000000000000005</v>
      </c>
      <c r="G7" s="3"/>
    </row>
    <row r="8" spans="1:8">
      <c r="A8" s="1"/>
      <c r="B8" s="1">
        <v>56</v>
      </c>
      <c r="C8" s="1"/>
      <c r="D8" s="1" t="s">
        <v>133</v>
      </c>
      <c r="E8" s="4">
        <v>5</v>
      </c>
      <c r="F8" s="5">
        <f t="shared" si="0"/>
        <v>0.28000000000000003</v>
      </c>
      <c r="G8" s="3"/>
    </row>
    <row r="9" spans="1:8">
      <c r="A9" s="1"/>
      <c r="B9" s="1">
        <v>56</v>
      </c>
      <c r="C9" s="1" t="s">
        <v>140</v>
      </c>
      <c r="D9" s="1" t="s">
        <v>85</v>
      </c>
      <c r="E9" s="4">
        <v>20</v>
      </c>
      <c r="F9" s="5">
        <f t="shared" si="0"/>
        <v>1.1200000000000001</v>
      </c>
      <c r="G9" s="3" t="s">
        <v>277</v>
      </c>
    </row>
    <row r="10" spans="1:8">
      <c r="A10" s="1"/>
      <c r="B10" s="1">
        <v>56</v>
      </c>
      <c r="C10" s="1"/>
      <c r="D10" s="1" t="s">
        <v>141</v>
      </c>
      <c r="E10" s="4">
        <v>20</v>
      </c>
      <c r="F10" s="5">
        <f t="shared" si="0"/>
        <v>1.1200000000000001</v>
      </c>
      <c r="G10" s="3" t="s">
        <v>278</v>
      </c>
    </row>
    <row r="11" spans="1:8">
      <c r="A11" s="1"/>
      <c r="B11" s="1">
        <v>56</v>
      </c>
      <c r="C11" s="1"/>
      <c r="D11" s="1" t="s">
        <v>281</v>
      </c>
      <c r="E11" s="4">
        <v>100</v>
      </c>
      <c r="F11" s="5">
        <f t="shared" si="0"/>
        <v>5.6</v>
      </c>
      <c r="G11" s="3" t="s">
        <v>282</v>
      </c>
    </row>
    <row r="12" spans="1:8">
      <c r="A12" s="1"/>
      <c r="B12" s="1">
        <v>56</v>
      </c>
      <c r="C12" s="1"/>
      <c r="D12" s="1" t="s">
        <v>284</v>
      </c>
      <c r="E12" s="4">
        <v>20</v>
      </c>
      <c r="F12" s="5">
        <f t="shared" si="0"/>
        <v>1.1200000000000001</v>
      </c>
      <c r="G12" s="3" t="s">
        <v>278</v>
      </c>
    </row>
    <row r="13" spans="1:8">
      <c r="A13" s="1"/>
      <c r="B13" s="1">
        <v>56</v>
      </c>
      <c r="C13" s="1"/>
      <c r="D13" s="1" t="s">
        <v>142</v>
      </c>
      <c r="E13" s="4">
        <v>60</v>
      </c>
      <c r="F13" s="5">
        <f t="shared" si="0"/>
        <v>3.36</v>
      </c>
      <c r="G13" s="3"/>
    </row>
    <row r="14" spans="1:8">
      <c r="A14" s="1"/>
      <c r="B14" s="1">
        <v>56</v>
      </c>
      <c r="C14" s="1"/>
      <c r="D14" s="1" t="s">
        <v>134</v>
      </c>
      <c r="E14" s="4">
        <v>5</v>
      </c>
      <c r="F14" s="5">
        <f t="shared" si="0"/>
        <v>0.28000000000000003</v>
      </c>
      <c r="G14" s="3" t="s">
        <v>283</v>
      </c>
    </row>
    <row r="15" spans="1:8">
      <c r="A15" s="1"/>
      <c r="B15" s="1">
        <v>56</v>
      </c>
      <c r="C15" s="1" t="s">
        <v>135</v>
      </c>
      <c r="D15" s="1" t="s">
        <v>136</v>
      </c>
      <c r="E15" s="4">
        <v>50</v>
      </c>
      <c r="F15" s="5">
        <f t="shared" si="0"/>
        <v>2.8</v>
      </c>
      <c r="G15" s="3" t="s">
        <v>154</v>
      </c>
    </row>
    <row r="16" spans="1:8">
      <c r="A16" s="1"/>
      <c r="B16" s="1">
        <v>56</v>
      </c>
      <c r="C16" s="1" t="s">
        <v>144</v>
      </c>
      <c r="D16" s="1" t="s">
        <v>93</v>
      </c>
      <c r="E16" s="4">
        <v>40</v>
      </c>
      <c r="F16" s="5">
        <f t="shared" si="0"/>
        <v>2.2400000000000002</v>
      </c>
      <c r="G16" s="3"/>
    </row>
    <row r="17" spans="1:7">
      <c r="A17" s="6"/>
      <c r="B17" s="6"/>
      <c r="C17" s="6"/>
      <c r="D17" s="6"/>
      <c r="E17" s="7"/>
      <c r="F17" s="8"/>
      <c r="G17" s="9"/>
    </row>
    <row r="18" spans="1:7">
      <c r="A18" s="2">
        <v>42017</v>
      </c>
      <c r="B18" s="1">
        <v>55</v>
      </c>
      <c r="C18" s="1" t="s">
        <v>23</v>
      </c>
      <c r="D18" s="1" t="s">
        <v>24</v>
      </c>
      <c r="E18" s="4">
        <v>40</v>
      </c>
      <c r="F18" s="5">
        <f t="shared" si="0"/>
        <v>2.2000000000000002</v>
      </c>
      <c r="G18" s="3"/>
    </row>
    <row r="19" spans="1:7">
      <c r="A19" s="1" t="s">
        <v>22</v>
      </c>
      <c r="B19" s="1">
        <v>55</v>
      </c>
      <c r="C19" s="1"/>
      <c r="D19" s="1" t="s">
        <v>16</v>
      </c>
      <c r="E19" s="4">
        <v>20</v>
      </c>
      <c r="F19" s="5">
        <f t="shared" si="0"/>
        <v>1.1000000000000001</v>
      </c>
      <c r="G19" s="3"/>
    </row>
    <row r="20" spans="1:7">
      <c r="A20" s="1" t="s">
        <v>7</v>
      </c>
      <c r="B20" s="1">
        <v>55</v>
      </c>
      <c r="C20" s="1"/>
      <c r="D20" s="1" t="s">
        <v>25</v>
      </c>
      <c r="E20" s="4">
        <v>10</v>
      </c>
      <c r="F20" s="5">
        <f t="shared" si="0"/>
        <v>0.55000000000000004</v>
      </c>
      <c r="G20" s="3"/>
    </row>
    <row r="21" spans="1:7">
      <c r="A21" s="1"/>
      <c r="B21" s="1">
        <v>55</v>
      </c>
      <c r="C21" s="1"/>
      <c r="D21" s="1" t="s">
        <v>26</v>
      </c>
      <c r="E21" s="4">
        <v>2</v>
      </c>
      <c r="F21" s="5">
        <f t="shared" si="0"/>
        <v>0.11</v>
      </c>
      <c r="G21" s="3" t="s">
        <v>32</v>
      </c>
    </row>
    <row r="22" spans="1:7">
      <c r="A22" s="1"/>
      <c r="B22" s="1">
        <v>55</v>
      </c>
      <c r="C22" s="1" t="s">
        <v>28</v>
      </c>
      <c r="D22" s="1" t="s">
        <v>29</v>
      </c>
      <c r="E22" s="4">
        <v>100</v>
      </c>
      <c r="F22" s="5">
        <f t="shared" si="0"/>
        <v>5.5</v>
      </c>
      <c r="G22" s="3"/>
    </row>
    <row r="23" spans="1:7">
      <c r="A23" s="1"/>
      <c r="B23" s="1">
        <v>55</v>
      </c>
      <c r="C23" s="1"/>
      <c r="D23" s="1" t="s">
        <v>30</v>
      </c>
      <c r="E23" s="4">
        <v>20</v>
      </c>
      <c r="F23" s="5">
        <f t="shared" si="0"/>
        <v>1.1000000000000001</v>
      </c>
      <c r="G23" s="3"/>
    </row>
    <row r="24" spans="1:7">
      <c r="A24" s="1"/>
      <c r="B24" s="1">
        <v>55</v>
      </c>
      <c r="C24" s="1"/>
      <c r="D24" s="1" t="s">
        <v>10</v>
      </c>
      <c r="E24" s="4">
        <v>20</v>
      </c>
      <c r="F24" s="5">
        <f t="shared" si="0"/>
        <v>1.1000000000000001</v>
      </c>
      <c r="G24" s="3"/>
    </row>
    <row r="25" spans="1:7">
      <c r="A25" s="1"/>
      <c r="B25" s="1">
        <v>55</v>
      </c>
      <c r="C25" s="1"/>
      <c r="D25" s="1" t="s">
        <v>280</v>
      </c>
      <c r="E25" s="4">
        <v>10</v>
      </c>
      <c r="F25" s="5">
        <f t="shared" si="0"/>
        <v>0.55000000000000004</v>
      </c>
      <c r="G25" s="3"/>
    </row>
    <row r="26" spans="1:7">
      <c r="A26" s="1"/>
      <c r="B26" s="1">
        <v>55</v>
      </c>
      <c r="C26" s="1" t="s">
        <v>100</v>
      </c>
      <c r="D26" s="1" t="s">
        <v>101</v>
      </c>
      <c r="E26" s="4">
        <v>60</v>
      </c>
      <c r="F26" s="5">
        <f t="shared" si="0"/>
        <v>3.3</v>
      </c>
      <c r="G26" s="3"/>
    </row>
    <row r="27" spans="1:7">
      <c r="A27" s="1"/>
      <c r="B27" s="1">
        <v>55</v>
      </c>
      <c r="C27" s="1"/>
      <c r="D27" s="1" t="s">
        <v>102</v>
      </c>
      <c r="E27" s="4">
        <v>15</v>
      </c>
      <c r="F27" s="5">
        <f t="shared" si="0"/>
        <v>0.82499999999999996</v>
      </c>
      <c r="G27" s="3"/>
    </row>
    <row r="28" spans="1:7">
      <c r="A28" s="1"/>
      <c r="B28" s="1">
        <v>55</v>
      </c>
      <c r="C28" s="1"/>
      <c r="D28" s="1" t="s">
        <v>103</v>
      </c>
      <c r="E28" s="4">
        <v>10</v>
      </c>
      <c r="F28" s="5">
        <f t="shared" si="0"/>
        <v>0.55000000000000004</v>
      </c>
      <c r="G28" s="3" t="s">
        <v>279</v>
      </c>
    </row>
    <row r="29" spans="1:7">
      <c r="A29" s="1"/>
      <c r="B29" s="1">
        <v>55</v>
      </c>
      <c r="C29" s="1" t="s">
        <v>19</v>
      </c>
      <c r="D29" s="1" t="s">
        <v>19</v>
      </c>
      <c r="E29" s="4">
        <v>40</v>
      </c>
      <c r="F29" s="5">
        <f t="shared" si="0"/>
        <v>2.2000000000000002</v>
      </c>
      <c r="G29" s="3"/>
    </row>
    <row r="30" spans="1:7">
      <c r="A30" s="6"/>
      <c r="B30" s="6"/>
      <c r="C30" s="6"/>
      <c r="D30" s="6"/>
      <c r="E30" s="7"/>
      <c r="F30" s="8"/>
      <c r="G30" s="9"/>
    </row>
    <row r="31" spans="1:7">
      <c r="A31" s="2">
        <v>42017</v>
      </c>
      <c r="B31" s="1">
        <v>56</v>
      </c>
      <c r="C31" s="1" t="s">
        <v>34</v>
      </c>
      <c r="D31" s="1" t="s">
        <v>35</v>
      </c>
      <c r="E31" s="4">
        <v>50</v>
      </c>
      <c r="F31" s="5">
        <f>(B31*E31)/1000</f>
        <v>2.8</v>
      </c>
      <c r="G31" s="3"/>
    </row>
    <row r="32" spans="1:7">
      <c r="A32" s="1" t="s">
        <v>22</v>
      </c>
      <c r="B32" s="1">
        <v>56</v>
      </c>
      <c r="C32" s="1"/>
      <c r="D32" s="1" t="s">
        <v>150</v>
      </c>
      <c r="E32" s="4">
        <v>5</v>
      </c>
      <c r="F32" s="5">
        <f>(B32*E32)/1000</f>
        <v>0.28000000000000003</v>
      </c>
      <c r="G32" s="3"/>
    </row>
    <row r="33" spans="1:7">
      <c r="A33" s="1" t="s">
        <v>20</v>
      </c>
      <c r="B33" s="1">
        <v>56</v>
      </c>
      <c r="C33" s="1" t="s">
        <v>145</v>
      </c>
      <c r="D33" s="1" t="s">
        <v>36</v>
      </c>
      <c r="E33" s="4">
        <v>15</v>
      </c>
      <c r="F33" s="5">
        <f t="shared" ref="F33:F43" si="1">(B33*E33)/1000</f>
        <v>0.84</v>
      </c>
      <c r="G33" s="3"/>
    </row>
    <row r="34" spans="1:7">
      <c r="A34" s="1"/>
      <c r="B34" s="1">
        <v>56</v>
      </c>
      <c r="C34" s="1"/>
      <c r="D34" s="1" t="s">
        <v>37</v>
      </c>
      <c r="E34" s="4">
        <v>2</v>
      </c>
      <c r="F34" s="5">
        <f t="shared" si="1"/>
        <v>0.112</v>
      </c>
      <c r="G34" s="3"/>
    </row>
    <row r="35" spans="1:7">
      <c r="A35" s="1"/>
      <c r="B35" s="1">
        <v>56</v>
      </c>
      <c r="C35" s="1" t="s">
        <v>151</v>
      </c>
      <c r="D35" s="1" t="s">
        <v>38</v>
      </c>
      <c r="E35" s="4">
        <v>5</v>
      </c>
      <c r="F35" s="5">
        <f t="shared" si="1"/>
        <v>0.28000000000000003</v>
      </c>
      <c r="G35" s="3"/>
    </row>
    <row r="36" spans="1:7">
      <c r="A36" s="1"/>
      <c r="B36" s="1">
        <v>56</v>
      </c>
      <c r="C36" s="1"/>
      <c r="D36" s="1" t="s">
        <v>152</v>
      </c>
      <c r="E36" s="4">
        <v>5</v>
      </c>
      <c r="F36" s="5">
        <f t="shared" si="1"/>
        <v>0.28000000000000003</v>
      </c>
      <c r="G36" s="3"/>
    </row>
    <row r="37" spans="1:7">
      <c r="A37" s="1"/>
      <c r="B37" s="1">
        <v>56</v>
      </c>
      <c r="C37" s="1" t="s">
        <v>146</v>
      </c>
      <c r="D37" s="1" t="s">
        <v>39</v>
      </c>
      <c r="E37" s="4">
        <v>100</v>
      </c>
      <c r="F37" s="5">
        <f t="shared" si="1"/>
        <v>5.6</v>
      </c>
      <c r="G37" s="3"/>
    </row>
    <row r="38" spans="1:7">
      <c r="A38" s="1"/>
      <c r="B38" s="1">
        <v>56</v>
      </c>
      <c r="C38" s="1"/>
      <c r="D38" s="1" t="s">
        <v>16</v>
      </c>
      <c r="E38" s="4">
        <v>20</v>
      </c>
      <c r="F38" s="5">
        <f t="shared" si="1"/>
        <v>1.1200000000000001</v>
      </c>
      <c r="G38" s="3" t="s">
        <v>107</v>
      </c>
    </row>
    <row r="39" spans="1:7">
      <c r="A39" s="1"/>
      <c r="B39" s="1">
        <v>56</v>
      </c>
      <c r="C39" s="1" t="s">
        <v>40</v>
      </c>
      <c r="D39" s="1" t="s">
        <v>41</v>
      </c>
      <c r="E39" s="4">
        <v>40</v>
      </c>
      <c r="F39" s="5">
        <f t="shared" si="1"/>
        <v>2.2400000000000002</v>
      </c>
      <c r="G39" s="3"/>
    </row>
    <row r="40" spans="1:7">
      <c r="A40" s="1"/>
      <c r="B40" s="1">
        <v>56</v>
      </c>
      <c r="C40" s="1"/>
      <c r="D40" s="1" t="s">
        <v>153</v>
      </c>
      <c r="E40" s="4">
        <v>100</v>
      </c>
      <c r="F40" s="5">
        <f t="shared" si="1"/>
        <v>5.6</v>
      </c>
      <c r="G40" s="3"/>
    </row>
    <row r="41" spans="1:7">
      <c r="A41" s="1"/>
      <c r="B41" s="1">
        <v>56</v>
      </c>
      <c r="C41" s="1"/>
      <c r="D41" s="1" t="s">
        <v>156</v>
      </c>
      <c r="E41" s="4">
        <v>5</v>
      </c>
      <c r="F41" s="5">
        <f t="shared" si="1"/>
        <v>0.28000000000000003</v>
      </c>
      <c r="G41" s="3"/>
    </row>
    <row r="42" spans="1:7">
      <c r="A42" s="1"/>
      <c r="B42" s="1">
        <v>56</v>
      </c>
      <c r="C42" s="1"/>
      <c r="D42" s="1" t="s">
        <v>155</v>
      </c>
      <c r="E42" s="4">
        <v>30</v>
      </c>
      <c r="F42" s="5">
        <f t="shared" si="1"/>
        <v>1.68</v>
      </c>
      <c r="G42" s="3"/>
    </row>
    <row r="43" spans="1:7">
      <c r="A43" s="1"/>
      <c r="B43" s="1">
        <v>56</v>
      </c>
      <c r="C43" s="1" t="s">
        <v>148</v>
      </c>
      <c r="D43" s="1" t="s">
        <v>149</v>
      </c>
      <c r="E43" s="4">
        <v>40</v>
      </c>
      <c r="F43" s="5">
        <f t="shared" si="1"/>
        <v>2.2400000000000002</v>
      </c>
      <c r="G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topLeftCell="A7" workbookViewId="0">
      <selection activeCell="F35" sqref="F35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157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42017</v>
      </c>
      <c r="B3" s="1">
        <v>56</v>
      </c>
      <c r="C3" s="1" t="s">
        <v>58</v>
      </c>
      <c r="D3" s="1" t="s">
        <v>59</v>
      </c>
      <c r="E3" s="4">
        <v>2</v>
      </c>
      <c r="F3" s="5">
        <f>(B3*E3)/1000</f>
        <v>0.112</v>
      </c>
      <c r="G3" s="3"/>
    </row>
    <row r="4" spans="1:8">
      <c r="A4" s="1" t="s">
        <v>22</v>
      </c>
      <c r="B4" s="1">
        <v>56</v>
      </c>
      <c r="C4" s="1" t="s">
        <v>158</v>
      </c>
      <c r="D4" s="1" t="s">
        <v>83</v>
      </c>
      <c r="E4" s="4">
        <v>2</v>
      </c>
      <c r="F4" s="5">
        <f t="shared" ref="F4:F14" si="0">(B4*E4)/1000</f>
        <v>0.112</v>
      </c>
      <c r="G4" s="3"/>
    </row>
    <row r="5" spans="1:8">
      <c r="A5" s="1" t="s">
        <v>21</v>
      </c>
      <c r="B5" s="1">
        <v>56</v>
      </c>
      <c r="C5" s="1"/>
      <c r="D5" s="1" t="s">
        <v>159</v>
      </c>
      <c r="E5" s="4">
        <v>2</v>
      </c>
      <c r="F5" s="5">
        <f t="shared" si="0"/>
        <v>0.112</v>
      </c>
      <c r="G5" s="3"/>
    </row>
    <row r="6" spans="1:8">
      <c r="A6" s="1"/>
      <c r="B6" s="1">
        <v>56</v>
      </c>
      <c r="C6" s="1" t="s">
        <v>160</v>
      </c>
      <c r="D6" s="1" t="s">
        <v>161</v>
      </c>
      <c r="E6" s="4">
        <v>150</v>
      </c>
      <c r="F6" s="5">
        <f t="shared" si="0"/>
        <v>8.4</v>
      </c>
      <c r="G6" s="3" t="s">
        <v>162</v>
      </c>
    </row>
    <row r="7" spans="1:8">
      <c r="A7" s="1"/>
      <c r="B7" s="1">
        <v>56</v>
      </c>
      <c r="C7" s="1"/>
      <c r="D7" s="1" t="s">
        <v>65</v>
      </c>
      <c r="E7" s="4">
        <v>30</v>
      </c>
      <c r="F7" s="5">
        <f t="shared" si="0"/>
        <v>1.68</v>
      </c>
      <c r="G7" s="3" t="s">
        <v>162</v>
      </c>
    </row>
    <row r="8" spans="1:8">
      <c r="A8" s="1"/>
      <c r="B8" s="1">
        <v>56</v>
      </c>
      <c r="C8" s="1"/>
      <c r="D8" s="1" t="s">
        <v>43</v>
      </c>
      <c r="E8" s="4">
        <v>5</v>
      </c>
      <c r="F8" s="5">
        <f t="shared" si="0"/>
        <v>0.28000000000000003</v>
      </c>
      <c r="G8" s="3"/>
    </row>
    <row r="9" spans="1:8">
      <c r="A9" s="1"/>
      <c r="B9" s="1">
        <v>56</v>
      </c>
      <c r="C9" s="1"/>
      <c r="D9" s="1" t="s">
        <v>26</v>
      </c>
      <c r="E9" s="4">
        <v>15</v>
      </c>
      <c r="F9" s="5">
        <f t="shared" si="0"/>
        <v>0.84</v>
      </c>
      <c r="G9" s="3"/>
    </row>
    <row r="10" spans="1:8">
      <c r="A10" s="1"/>
      <c r="B10" s="1">
        <v>56</v>
      </c>
      <c r="C10" s="1"/>
      <c r="D10" s="1" t="s">
        <v>31</v>
      </c>
      <c r="E10" s="4">
        <v>10</v>
      </c>
      <c r="F10" s="5">
        <f t="shared" si="0"/>
        <v>0.56000000000000005</v>
      </c>
      <c r="G10" s="3"/>
    </row>
    <row r="11" spans="1:8">
      <c r="A11" s="1"/>
      <c r="B11" s="1">
        <v>56</v>
      </c>
      <c r="C11" s="1"/>
      <c r="D11" s="1" t="s">
        <v>17</v>
      </c>
      <c r="E11" s="4">
        <v>10</v>
      </c>
      <c r="F11" s="5">
        <f t="shared" si="0"/>
        <v>0.56000000000000005</v>
      </c>
      <c r="G11" s="3"/>
    </row>
    <row r="12" spans="1:8">
      <c r="A12" s="1"/>
      <c r="B12" s="1">
        <v>56</v>
      </c>
      <c r="C12" s="1" t="s">
        <v>163</v>
      </c>
      <c r="D12" s="1" t="s">
        <v>147</v>
      </c>
      <c r="E12" s="4">
        <v>60</v>
      </c>
      <c r="F12" s="5">
        <f t="shared" si="0"/>
        <v>3.36</v>
      </c>
      <c r="G12" s="3"/>
    </row>
    <row r="13" spans="1:8">
      <c r="A13" s="1"/>
      <c r="B13" s="1">
        <v>56</v>
      </c>
      <c r="C13" s="1"/>
      <c r="D13" s="1" t="s">
        <v>17</v>
      </c>
      <c r="E13" s="4">
        <v>10</v>
      </c>
      <c r="F13" s="5">
        <f t="shared" si="0"/>
        <v>0.56000000000000005</v>
      </c>
      <c r="G13" s="3"/>
    </row>
    <row r="14" spans="1:8">
      <c r="A14" s="1"/>
      <c r="B14" s="1">
        <v>56</v>
      </c>
      <c r="C14" s="1" t="s">
        <v>164</v>
      </c>
      <c r="D14" s="1" t="s">
        <v>165</v>
      </c>
      <c r="E14" s="4">
        <v>40</v>
      </c>
      <c r="F14" s="5">
        <f t="shared" si="0"/>
        <v>2.2400000000000002</v>
      </c>
      <c r="G14" s="3"/>
    </row>
    <row r="15" spans="1:8">
      <c r="A15" s="6"/>
      <c r="B15" s="6"/>
      <c r="C15" s="6"/>
      <c r="D15" s="6"/>
      <c r="E15" s="7"/>
      <c r="F15" s="8"/>
      <c r="G15" s="9"/>
    </row>
    <row r="16" spans="1:8">
      <c r="A16" s="2">
        <v>42018</v>
      </c>
      <c r="B16" s="1">
        <v>55</v>
      </c>
      <c r="C16" s="1" t="s">
        <v>45</v>
      </c>
      <c r="D16" s="1" t="s">
        <v>46</v>
      </c>
      <c r="E16" s="4">
        <v>20</v>
      </c>
      <c r="F16" s="5">
        <f>(B16*E16)/1000</f>
        <v>1.1000000000000001</v>
      </c>
      <c r="G16" s="3"/>
    </row>
    <row r="17" spans="1:7">
      <c r="A17" s="1" t="s">
        <v>44</v>
      </c>
      <c r="B17" s="1">
        <v>55</v>
      </c>
      <c r="C17" s="1"/>
      <c r="D17" s="1" t="s">
        <v>47</v>
      </c>
      <c r="E17" s="4">
        <v>30</v>
      </c>
      <c r="F17" s="5">
        <f t="shared" ref="F17:F35" si="1">(B17*E17)/1000</f>
        <v>1.65</v>
      </c>
      <c r="G17" s="3"/>
    </row>
    <row r="18" spans="1:7">
      <c r="A18" s="1" t="s">
        <v>7</v>
      </c>
      <c r="B18" s="1">
        <v>55</v>
      </c>
      <c r="C18" s="1"/>
      <c r="D18" s="1" t="s">
        <v>48</v>
      </c>
      <c r="E18" s="4">
        <v>20</v>
      </c>
      <c r="F18" s="5">
        <f t="shared" si="1"/>
        <v>1.1000000000000001</v>
      </c>
      <c r="G18" s="3"/>
    </row>
    <row r="19" spans="1:7">
      <c r="A19" s="1"/>
      <c r="B19" s="1">
        <v>55</v>
      </c>
      <c r="C19" s="1"/>
      <c r="D19" s="1" t="s">
        <v>49</v>
      </c>
      <c r="E19" s="4">
        <v>10</v>
      </c>
      <c r="F19" s="5">
        <f t="shared" si="1"/>
        <v>0.55000000000000004</v>
      </c>
      <c r="G19" s="3" t="s">
        <v>70</v>
      </c>
    </row>
    <row r="20" spans="1:7">
      <c r="A20" s="1"/>
      <c r="B20" s="1">
        <v>55</v>
      </c>
      <c r="C20" s="1" t="s">
        <v>51</v>
      </c>
      <c r="D20" s="1" t="s">
        <v>50</v>
      </c>
      <c r="E20" s="4">
        <v>10</v>
      </c>
      <c r="F20" s="5">
        <f t="shared" si="1"/>
        <v>0.55000000000000004</v>
      </c>
      <c r="G20" s="3"/>
    </row>
    <row r="21" spans="1:7">
      <c r="A21" s="1"/>
      <c r="B21" s="1">
        <v>55</v>
      </c>
      <c r="C21" s="1"/>
      <c r="D21" s="1" t="s">
        <v>52</v>
      </c>
      <c r="E21" s="4">
        <v>10</v>
      </c>
      <c r="F21" s="5">
        <f t="shared" si="1"/>
        <v>0.55000000000000004</v>
      </c>
      <c r="G21" s="3"/>
    </row>
    <row r="22" spans="1:7">
      <c r="A22" s="1"/>
      <c r="B22" s="1">
        <v>55</v>
      </c>
      <c r="C22" s="1" t="s">
        <v>53</v>
      </c>
      <c r="D22" s="1" t="s">
        <v>48</v>
      </c>
      <c r="E22" s="4">
        <v>70</v>
      </c>
      <c r="F22" s="5">
        <f t="shared" si="1"/>
        <v>3.85</v>
      </c>
      <c r="G22" s="3"/>
    </row>
    <row r="23" spans="1:7">
      <c r="A23" s="1"/>
      <c r="B23" s="1">
        <v>55</v>
      </c>
      <c r="C23" s="1"/>
      <c r="D23" s="1" t="s">
        <v>69</v>
      </c>
      <c r="E23" s="4">
        <v>10</v>
      </c>
      <c r="F23" s="5">
        <f t="shared" si="1"/>
        <v>0.55000000000000004</v>
      </c>
      <c r="G23" s="3"/>
    </row>
    <row r="24" spans="1:7">
      <c r="A24" s="1"/>
      <c r="B24" s="1">
        <v>55</v>
      </c>
      <c r="C24" s="1" t="s">
        <v>55</v>
      </c>
      <c r="D24" s="1" t="s">
        <v>55</v>
      </c>
      <c r="E24" s="4">
        <v>40</v>
      </c>
      <c r="F24" s="5">
        <f t="shared" si="1"/>
        <v>2.2000000000000002</v>
      </c>
      <c r="G24" s="3"/>
    </row>
    <row r="25" spans="1:7">
      <c r="A25" s="6"/>
      <c r="B25" s="6"/>
      <c r="C25" s="6"/>
      <c r="D25" s="6"/>
      <c r="E25" s="7"/>
      <c r="F25" s="8"/>
      <c r="G25" s="9"/>
    </row>
    <row r="26" spans="1:7">
      <c r="A26" s="2">
        <v>42018</v>
      </c>
      <c r="B26" s="1">
        <v>56</v>
      </c>
      <c r="C26" s="1" t="s">
        <v>104</v>
      </c>
      <c r="D26" s="1" t="s">
        <v>105</v>
      </c>
      <c r="E26" s="4">
        <v>2</v>
      </c>
      <c r="F26" s="5">
        <f t="shared" si="1"/>
        <v>0.112</v>
      </c>
      <c r="G26" s="3"/>
    </row>
    <row r="27" spans="1:7">
      <c r="A27" s="1" t="s">
        <v>56</v>
      </c>
      <c r="B27" s="1">
        <v>56</v>
      </c>
      <c r="C27" s="1" t="s">
        <v>166</v>
      </c>
      <c r="D27" s="1" t="s">
        <v>167</v>
      </c>
      <c r="E27" s="4">
        <v>30</v>
      </c>
      <c r="F27" s="5">
        <f t="shared" si="1"/>
        <v>1.68</v>
      </c>
      <c r="G27" s="3"/>
    </row>
    <row r="28" spans="1:7">
      <c r="A28" s="1" t="s">
        <v>57</v>
      </c>
      <c r="B28" s="1">
        <v>56</v>
      </c>
      <c r="C28" s="1"/>
      <c r="D28" s="1" t="s">
        <v>17</v>
      </c>
      <c r="E28" s="4">
        <v>10</v>
      </c>
      <c r="F28" s="5">
        <f t="shared" si="1"/>
        <v>0.56000000000000005</v>
      </c>
      <c r="G28" s="3" t="s">
        <v>18</v>
      </c>
    </row>
    <row r="29" spans="1:7">
      <c r="A29" s="1"/>
      <c r="B29" s="1">
        <v>56</v>
      </c>
      <c r="C29" s="1" t="s">
        <v>108</v>
      </c>
      <c r="D29" s="1" t="s">
        <v>61</v>
      </c>
      <c r="E29" s="4">
        <v>120</v>
      </c>
      <c r="F29" s="5">
        <f t="shared" si="1"/>
        <v>6.72</v>
      </c>
      <c r="G29" s="3"/>
    </row>
    <row r="30" spans="1:7">
      <c r="A30" s="1"/>
      <c r="B30" s="1">
        <v>56</v>
      </c>
      <c r="C30" s="1"/>
      <c r="D30" s="1" t="s">
        <v>48</v>
      </c>
      <c r="E30" s="4">
        <v>30</v>
      </c>
      <c r="F30" s="5">
        <f t="shared" si="1"/>
        <v>1.68</v>
      </c>
      <c r="G30" s="3"/>
    </row>
    <row r="31" spans="1:7">
      <c r="A31" s="1"/>
      <c r="B31" s="1">
        <v>56</v>
      </c>
      <c r="C31" s="1"/>
      <c r="D31" s="1" t="s">
        <v>31</v>
      </c>
      <c r="E31" s="4">
        <v>20</v>
      </c>
      <c r="F31" s="5">
        <f t="shared" si="1"/>
        <v>1.1200000000000001</v>
      </c>
      <c r="G31" s="3"/>
    </row>
    <row r="32" spans="1:7">
      <c r="A32" s="1"/>
      <c r="B32" s="1">
        <v>56</v>
      </c>
      <c r="C32" s="1"/>
      <c r="D32" s="1" t="s">
        <v>17</v>
      </c>
      <c r="E32" s="4">
        <v>20</v>
      </c>
      <c r="F32" s="5">
        <f t="shared" si="1"/>
        <v>1.1200000000000001</v>
      </c>
      <c r="G32" s="3"/>
    </row>
    <row r="33" spans="1:7">
      <c r="A33" s="1"/>
      <c r="B33" s="1">
        <v>56</v>
      </c>
      <c r="C33" s="1" t="s">
        <v>109</v>
      </c>
      <c r="D33" s="1" t="s">
        <v>110</v>
      </c>
      <c r="E33" s="4">
        <v>30</v>
      </c>
      <c r="F33" s="5">
        <f t="shared" si="1"/>
        <v>1.68</v>
      </c>
      <c r="G33" s="3"/>
    </row>
    <row r="34" spans="1:7">
      <c r="A34" s="1"/>
      <c r="B34" s="1">
        <v>56</v>
      </c>
      <c r="C34" s="1"/>
      <c r="D34" s="1" t="s">
        <v>168</v>
      </c>
      <c r="E34" s="4">
        <v>5</v>
      </c>
      <c r="F34" s="5">
        <f t="shared" si="1"/>
        <v>0.28000000000000003</v>
      </c>
      <c r="G34" s="3"/>
    </row>
    <row r="35" spans="1:7">
      <c r="A35" s="1"/>
      <c r="B35" s="1">
        <v>56</v>
      </c>
      <c r="C35" s="1" t="s">
        <v>169</v>
      </c>
      <c r="D35" s="1" t="s">
        <v>169</v>
      </c>
      <c r="E35" s="4">
        <v>40</v>
      </c>
      <c r="F35" s="5">
        <f t="shared" si="1"/>
        <v>2.2400000000000002</v>
      </c>
      <c r="G35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topLeftCell="A3" workbookViewId="0">
      <selection activeCell="F13" sqref="F13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170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42018</v>
      </c>
      <c r="B3" s="1">
        <v>56</v>
      </c>
      <c r="C3" s="1" t="s">
        <v>171</v>
      </c>
      <c r="D3" s="1" t="s">
        <v>172</v>
      </c>
      <c r="E3" s="4">
        <v>25</v>
      </c>
      <c r="F3" s="5">
        <f>(B3*E3)/1000</f>
        <v>1.4</v>
      </c>
      <c r="G3" s="3"/>
    </row>
    <row r="4" spans="1:8">
      <c r="A4" s="1" t="s">
        <v>44</v>
      </c>
      <c r="B4" s="1">
        <v>56</v>
      </c>
      <c r="C4" s="1" t="s">
        <v>173</v>
      </c>
      <c r="D4" s="1" t="s">
        <v>174</v>
      </c>
      <c r="E4" s="4">
        <v>100</v>
      </c>
      <c r="F4" s="5">
        <f t="shared" ref="F4:F14" si="0">(B4*E4)/1000</f>
        <v>5.6</v>
      </c>
      <c r="G4" s="3"/>
    </row>
    <row r="5" spans="1:8">
      <c r="A5" s="1" t="s">
        <v>21</v>
      </c>
      <c r="B5" s="1">
        <v>56</v>
      </c>
      <c r="C5" s="1"/>
      <c r="D5" s="1" t="s">
        <v>175</v>
      </c>
      <c r="E5" s="4">
        <v>30</v>
      </c>
      <c r="F5" s="5">
        <f t="shared" si="0"/>
        <v>1.68</v>
      </c>
      <c r="G5" s="3"/>
    </row>
    <row r="6" spans="1:8">
      <c r="A6" s="1"/>
      <c r="B6" s="1">
        <v>56</v>
      </c>
      <c r="C6" s="1"/>
      <c r="D6" s="1" t="s">
        <v>176</v>
      </c>
      <c r="E6" s="4">
        <v>20</v>
      </c>
      <c r="F6" s="5">
        <f t="shared" si="0"/>
        <v>1.1200000000000001</v>
      </c>
      <c r="G6" s="3"/>
    </row>
    <row r="7" spans="1:8">
      <c r="A7" s="1"/>
      <c r="B7" s="1">
        <v>56</v>
      </c>
      <c r="C7" s="1"/>
      <c r="D7" s="1" t="s">
        <v>69</v>
      </c>
      <c r="E7" s="4">
        <v>20</v>
      </c>
      <c r="F7" s="5">
        <f t="shared" si="0"/>
        <v>1.1200000000000001</v>
      </c>
      <c r="G7" s="3"/>
    </row>
    <row r="8" spans="1:8">
      <c r="A8" s="1"/>
      <c r="B8" s="1">
        <v>56</v>
      </c>
      <c r="C8" s="1" t="s">
        <v>177</v>
      </c>
      <c r="D8" s="1" t="s">
        <v>178</v>
      </c>
      <c r="E8" s="4">
        <v>50</v>
      </c>
      <c r="F8" s="5">
        <f t="shared" si="0"/>
        <v>2.8</v>
      </c>
      <c r="G8" s="3"/>
    </row>
    <row r="9" spans="1:8">
      <c r="A9" s="1"/>
      <c r="B9" s="1">
        <v>56</v>
      </c>
      <c r="C9" s="1"/>
      <c r="D9" s="1" t="s">
        <v>179</v>
      </c>
      <c r="E9" s="4">
        <v>50</v>
      </c>
      <c r="F9" s="5">
        <f t="shared" si="0"/>
        <v>2.8</v>
      </c>
      <c r="G9" s="3"/>
    </row>
    <row r="10" spans="1:8">
      <c r="A10" s="1"/>
      <c r="B10" s="1">
        <v>56</v>
      </c>
      <c r="C10" s="1"/>
      <c r="D10" s="1" t="s">
        <v>180</v>
      </c>
      <c r="E10" s="4">
        <v>50</v>
      </c>
      <c r="F10" s="5">
        <f t="shared" si="0"/>
        <v>2.8</v>
      </c>
      <c r="G10" s="3"/>
    </row>
    <row r="11" spans="1:8">
      <c r="A11" s="1"/>
      <c r="B11" s="1">
        <v>56</v>
      </c>
      <c r="C11" s="1"/>
      <c r="D11" s="1" t="s">
        <v>43</v>
      </c>
      <c r="E11" s="4">
        <v>10</v>
      </c>
      <c r="F11" s="5">
        <f t="shared" si="0"/>
        <v>0.56000000000000005</v>
      </c>
      <c r="G11" s="3"/>
    </row>
    <row r="12" spans="1:8">
      <c r="A12" s="1"/>
      <c r="B12" s="1">
        <v>56</v>
      </c>
      <c r="C12" s="1"/>
      <c r="D12" s="1" t="s">
        <v>181</v>
      </c>
      <c r="E12" s="4">
        <v>30</v>
      </c>
      <c r="F12" s="5">
        <f t="shared" si="0"/>
        <v>1.68</v>
      </c>
      <c r="G12" s="3"/>
    </row>
    <row r="13" spans="1:8">
      <c r="A13" s="1"/>
      <c r="B13" s="1">
        <v>56</v>
      </c>
      <c r="C13" s="1"/>
      <c r="D13" s="1" t="s">
        <v>249</v>
      </c>
      <c r="E13" s="4">
        <v>30</v>
      </c>
      <c r="F13" s="5">
        <f t="shared" si="0"/>
        <v>1.68</v>
      </c>
      <c r="G13" s="3"/>
    </row>
    <row r="14" spans="1:8">
      <c r="A14" s="1"/>
      <c r="B14" s="1">
        <v>56</v>
      </c>
      <c r="C14" s="1" t="s">
        <v>84</v>
      </c>
      <c r="D14" s="1" t="s">
        <v>84</v>
      </c>
      <c r="E14" s="4">
        <v>40</v>
      </c>
      <c r="F14" s="5">
        <f t="shared" si="0"/>
        <v>2.2400000000000002</v>
      </c>
      <c r="G14" s="3"/>
    </row>
    <row r="15" spans="1:8">
      <c r="A15" s="6"/>
      <c r="B15" s="6"/>
      <c r="C15" s="6"/>
      <c r="D15" s="6"/>
      <c r="E15" s="7"/>
      <c r="F15" s="8"/>
      <c r="G15" s="9"/>
    </row>
    <row r="16" spans="1:8">
      <c r="A16" s="2">
        <v>42019</v>
      </c>
      <c r="B16" s="1">
        <v>55</v>
      </c>
      <c r="C16" s="1" t="s">
        <v>88</v>
      </c>
      <c r="D16" s="1" t="s">
        <v>83</v>
      </c>
      <c r="E16" s="4">
        <v>2</v>
      </c>
      <c r="F16" s="5">
        <f>(B16*E16)/1000</f>
        <v>0.11</v>
      </c>
      <c r="G16" s="3"/>
    </row>
    <row r="17" spans="1:7">
      <c r="A17" s="1" t="s">
        <v>96</v>
      </c>
      <c r="B17" s="1">
        <v>55</v>
      </c>
      <c r="C17" s="1"/>
      <c r="D17" s="1" t="s">
        <v>16</v>
      </c>
      <c r="E17" s="4">
        <v>40</v>
      </c>
      <c r="F17" s="5">
        <f t="shared" ref="F17:F36" si="1">(B17*E17)/1000</f>
        <v>2.2000000000000002</v>
      </c>
      <c r="G17" s="3"/>
    </row>
    <row r="18" spans="1:7">
      <c r="A18" s="1" t="s">
        <v>7</v>
      </c>
      <c r="B18" s="1">
        <v>55</v>
      </c>
      <c r="C18" s="1" t="s">
        <v>182</v>
      </c>
      <c r="D18" s="1" t="s">
        <v>76</v>
      </c>
      <c r="E18" s="4">
        <v>100</v>
      </c>
      <c r="F18" s="5">
        <f t="shared" si="1"/>
        <v>5.5</v>
      </c>
      <c r="G18" s="3"/>
    </row>
    <row r="19" spans="1:7">
      <c r="A19" s="1"/>
      <c r="B19" s="1">
        <v>55</v>
      </c>
      <c r="C19" s="1"/>
      <c r="D19" s="1" t="s">
        <v>183</v>
      </c>
      <c r="E19" s="4">
        <v>10</v>
      </c>
      <c r="F19" s="5">
        <f t="shared" si="1"/>
        <v>0.55000000000000004</v>
      </c>
      <c r="G19" s="3"/>
    </row>
    <row r="20" spans="1:7">
      <c r="A20" s="1"/>
      <c r="B20" s="1">
        <v>55</v>
      </c>
      <c r="C20" s="1"/>
      <c r="D20" s="1" t="s">
        <v>16</v>
      </c>
      <c r="E20" s="4">
        <v>20</v>
      </c>
      <c r="F20" s="5">
        <f t="shared" si="1"/>
        <v>1.1000000000000001</v>
      </c>
      <c r="G20" s="3" t="s">
        <v>70</v>
      </c>
    </row>
    <row r="21" spans="1:7">
      <c r="A21" s="1"/>
      <c r="B21" s="1">
        <v>55</v>
      </c>
      <c r="C21" s="1"/>
      <c r="D21" s="1" t="s">
        <v>17</v>
      </c>
      <c r="E21" s="4">
        <v>10</v>
      </c>
      <c r="F21" s="5">
        <f t="shared" si="1"/>
        <v>0.55000000000000004</v>
      </c>
      <c r="G21" s="3"/>
    </row>
    <row r="22" spans="1:7">
      <c r="A22" s="1"/>
      <c r="B22" s="1">
        <v>55</v>
      </c>
      <c r="C22" s="1" t="s">
        <v>189</v>
      </c>
      <c r="D22" s="1" t="s">
        <v>188</v>
      </c>
      <c r="E22" s="4">
        <v>80</v>
      </c>
      <c r="F22" s="5">
        <f t="shared" si="1"/>
        <v>4.4000000000000004</v>
      </c>
      <c r="G22" s="3"/>
    </row>
    <row r="23" spans="1:7">
      <c r="A23" s="1"/>
      <c r="B23" s="1">
        <v>55</v>
      </c>
      <c r="C23" s="1"/>
      <c r="D23" s="1" t="s">
        <v>13</v>
      </c>
      <c r="E23" s="4">
        <v>20</v>
      </c>
      <c r="F23" s="5">
        <f t="shared" si="1"/>
        <v>1.1000000000000001</v>
      </c>
      <c r="G23" s="3"/>
    </row>
    <row r="24" spans="1:7">
      <c r="A24" s="1"/>
      <c r="B24" s="1">
        <v>55</v>
      </c>
      <c r="C24" s="1" t="s">
        <v>55</v>
      </c>
      <c r="D24" s="1" t="s">
        <v>55</v>
      </c>
      <c r="E24" s="4">
        <v>40</v>
      </c>
      <c r="F24" s="5">
        <f t="shared" si="1"/>
        <v>2.2000000000000002</v>
      </c>
      <c r="G24" s="3"/>
    </row>
    <row r="25" spans="1:7">
      <c r="A25" s="6"/>
      <c r="B25" s="6"/>
      <c r="C25" s="6"/>
      <c r="D25" s="6"/>
      <c r="E25" s="7"/>
      <c r="F25" s="8"/>
      <c r="G25" s="9"/>
    </row>
    <row r="26" spans="1:7">
      <c r="A26" s="2">
        <v>42019</v>
      </c>
      <c r="B26" s="1">
        <v>56</v>
      </c>
      <c r="C26" s="1" t="s">
        <v>74</v>
      </c>
      <c r="D26" s="1" t="s">
        <v>75</v>
      </c>
      <c r="E26" s="4">
        <v>2</v>
      </c>
      <c r="F26" s="5">
        <f t="shared" si="1"/>
        <v>0.112</v>
      </c>
      <c r="G26" s="3"/>
    </row>
    <row r="27" spans="1:7">
      <c r="A27" s="1" t="s">
        <v>96</v>
      </c>
      <c r="B27" s="1">
        <v>56</v>
      </c>
      <c r="C27" s="1" t="s">
        <v>184</v>
      </c>
      <c r="D27" s="1" t="s">
        <v>185</v>
      </c>
      <c r="E27" s="4">
        <v>2</v>
      </c>
      <c r="F27" s="5">
        <f t="shared" si="1"/>
        <v>0.112</v>
      </c>
      <c r="G27" s="3"/>
    </row>
    <row r="28" spans="1:7">
      <c r="A28" s="1" t="s">
        <v>57</v>
      </c>
      <c r="B28" s="1">
        <v>56</v>
      </c>
      <c r="C28" s="1"/>
      <c r="D28" s="1" t="s">
        <v>186</v>
      </c>
      <c r="E28" s="4">
        <v>30</v>
      </c>
      <c r="F28" s="5">
        <f t="shared" si="1"/>
        <v>1.68</v>
      </c>
      <c r="G28" s="3"/>
    </row>
    <row r="29" spans="1:7">
      <c r="A29" s="1"/>
      <c r="B29" s="1">
        <v>56</v>
      </c>
      <c r="C29" s="1"/>
      <c r="D29" s="1" t="s">
        <v>17</v>
      </c>
      <c r="E29" s="4">
        <v>10</v>
      </c>
      <c r="F29" s="5">
        <f t="shared" si="1"/>
        <v>0.56000000000000005</v>
      </c>
      <c r="G29" s="3" t="s">
        <v>187</v>
      </c>
    </row>
    <row r="30" spans="1:7">
      <c r="A30" s="1"/>
      <c r="B30" s="1">
        <v>56</v>
      </c>
      <c r="C30" s="1" t="s">
        <v>90</v>
      </c>
      <c r="D30" s="1" t="s">
        <v>91</v>
      </c>
      <c r="E30" s="4">
        <v>120</v>
      </c>
      <c r="F30" s="5">
        <f t="shared" si="1"/>
        <v>6.72</v>
      </c>
      <c r="G30" s="3"/>
    </row>
    <row r="31" spans="1:7">
      <c r="A31" s="1"/>
      <c r="B31" s="1">
        <v>56</v>
      </c>
      <c r="C31" s="1"/>
      <c r="D31" s="1" t="s">
        <v>33</v>
      </c>
      <c r="E31" s="4">
        <v>50</v>
      </c>
      <c r="F31" s="5">
        <f t="shared" si="1"/>
        <v>2.8</v>
      </c>
      <c r="G31" s="3"/>
    </row>
    <row r="32" spans="1:7">
      <c r="A32" s="1"/>
      <c r="B32" s="1">
        <v>56</v>
      </c>
      <c r="C32" s="1"/>
      <c r="D32" s="1" t="s">
        <v>17</v>
      </c>
      <c r="E32" s="4">
        <v>20</v>
      </c>
      <c r="F32" s="5">
        <f t="shared" si="1"/>
        <v>1.1200000000000001</v>
      </c>
      <c r="G32" s="3"/>
    </row>
    <row r="33" spans="1:7">
      <c r="A33" s="1"/>
      <c r="B33" s="1">
        <v>56</v>
      </c>
      <c r="C33" s="1"/>
      <c r="D33" s="1" t="s">
        <v>27</v>
      </c>
      <c r="E33" s="4">
        <v>2</v>
      </c>
      <c r="F33" s="5">
        <f t="shared" si="1"/>
        <v>0.112</v>
      </c>
      <c r="G33" s="3"/>
    </row>
    <row r="34" spans="1:7">
      <c r="A34" s="1"/>
      <c r="B34" s="1">
        <v>56</v>
      </c>
      <c r="C34" s="1" t="s">
        <v>92</v>
      </c>
      <c r="D34" s="1" t="s">
        <v>66</v>
      </c>
      <c r="E34" s="4">
        <v>20</v>
      </c>
      <c r="F34" s="5">
        <f t="shared" si="1"/>
        <v>1.1200000000000001</v>
      </c>
      <c r="G34" s="3" t="s">
        <v>68</v>
      </c>
    </row>
    <row r="35" spans="1:7">
      <c r="A35" s="1"/>
      <c r="B35" s="1">
        <v>56</v>
      </c>
      <c r="C35" s="1"/>
      <c r="D35" s="1" t="s">
        <v>95</v>
      </c>
      <c r="E35" s="4">
        <v>5</v>
      </c>
      <c r="F35" s="5">
        <f t="shared" si="1"/>
        <v>0.28000000000000003</v>
      </c>
      <c r="G35" s="3"/>
    </row>
    <row r="36" spans="1:7">
      <c r="A36" s="1"/>
      <c r="B36" s="1">
        <v>56</v>
      </c>
      <c r="C36" s="1" t="s">
        <v>93</v>
      </c>
      <c r="D36" s="1" t="s">
        <v>94</v>
      </c>
      <c r="E36" s="4">
        <v>40</v>
      </c>
      <c r="F36" s="5">
        <f t="shared" si="1"/>
        <v>2.2400000000000002</v>
      </c>
      <c r="G36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>
      <selection activeCell="H31" sqref="H31"/>
    </sheetView>
  </sheetViews>
  <sheetFormatPr defaultRowHeight="16.5"/>
  <cols>
    <col min="1" max="1" width="5.75" customWidth="1"/>
    <col min="2" max="2" width="4.25" customWidth="1"/>
    <col min="3" max="3" width="18.375" customWidth="1"/>
    <col min="4" max="4" width="18.75" customWidth="1"/>
    <col min="5" max="5" width="7.25" customWidth="1"/>
    <col min="6" max="6" width="9" customWidth="1"/>
    <col min="7" max="7" width="16.25" customWidth="1"/>
    <col min="8" max="8" width="9" customWidth="1"/>
  </cols>
  <sheetData>
    <row r="1" spans="1:8" ht="26.25" customHeight="1">
      <c r="A1" s="17" t="s">
        <v>190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42019</v>
      </c>
      <c r="B3" s="1">
        <v>56</v>
      </c>
      <c r="C3" s="1" t="s">
        <v>273</v>
      </c>
      <c r="D3" s="1" t="s">
        <v>71</v>
      </c>
      <c r="E3" s="4">
        <v>25</v>
      </c>
      <c r="F3" s="5">
        <f>(B3*E3)/1000</f>
        <v>1.4</v>
      </c>
      <c r="G3" s="3"/>
    </row>
    <row r="4" spans="1:8">
      <c r="A4" s="1" t="s">
        <v>96</v>
      </c>
      <c r="B4" s="1">
        <v>56</v>
      </c>
      <c r="C4" s="1"/>
      <c r="D4" s="1" t="s">
        <v>191</v>
      </c>
      <c r="E4" s="4">
        <v>10</v>
      </c>
      <c r="F4" s="5">
        <f t="shared" ref="F4:F14" si="0">(B4*E4)/1000</f>
        <v>0.56000000000000005</v>
      </c>
      <c r="G4" s="3"/>
    </row>
    <row r="5" spans="1:8">
      <c r="A5" s="1" t="s">
        <v>21</v>
      </c>
      <c r="B5" s="1">
        <v>56</v>
      </c>
      <c r="C5" s="1"/>
      <c r="D5" s="1" t="s">
        <v>48</v>
      </c>
      <c r="E5" s="4">
        <v>30</v>
      </c>
      <c r="F5" s="5">
        <f t="shared" si="0"/>
        <v>1.68</v>
      </c>
      <c r="G5" s="3"/>
    </row>
    <row r="6" spans="1:8">
      <c r="A6" s="1"/>
      <c r="B6" s="1">
        <v>56</v>
      </c>
      <c r="C6" s="1"/>
      <c r="D6" s="1" t="s">
        <v>192</v>
      </c>
      <c r="E6" s="4">
        <v>30</v>
      </c>
      <c r="F6" s="5">
        <f t="shared" si="0"/>
        <v>1.68</v>
      </c>
      <c r="G6" s="3"/>
    </row>
    <row r="7" spans="1:8">
      <c r="A7" s="1"/>
      <c r="B7" s="1">
        <v>56</v>
      </c>
      <c r="C7" s="1"/>
      <c r="D7" s="1" t="s">
        <v>31</v>
      </c>
      <c r="E7" s="4">
        <v>20</v>
      </c>
      <c r="F7" s="5">
        <f t="shared" si="0"/>
        <v>1.1200000000000001</v>
      </c>
      <c r="G7" s="3"/>
    </row>
    <row r="8" spans="1:8">
      <c r="A8" s="1"/>
      <c r="B8" s="1">
        <v>56</v>
      </c>
      <c r="C8" s="1"/>
      <c r="D8" s="1" t="s">
        <v>17</v>
      </c>
      <c r="E8" s="4">
        <v>20</v>
      </c>
      <c r="F8" s="5">
        <f t="shared" si="0"/>
        <v>1.1200000000000001</v>
      </c>
      <c r="G8" s="3"/>
    </row>
    <row r="9" spans="1:8">
      <c r="A9" s="1"/>
      <c r="B9" s="1">
        <v>56</v>
      </c>
      <c r="C9" s="1" t="s">
        <v>193</v>
      </c>
      <c r="D9" s="1" t="s">
        <v>72</v>
      </c>
      <c r="E9" s="4">
        <v>0</v>
      </c>
      <c r="F9" s="5">
        <f t="shared" si="0"/>
        <v>0</v>
      </c>
      <c r="G9" s="3"/>
    </row>
    <row r="10" spans="1:8">
      <c r="A10" s="1"/>
      <c r="B10" s="1">
        <v>56</v>
      </c>
      <c r="C10" s="1"/>
      <c r="D10" s="1" t="s">
        <v>73</v>
      </c>
      <c r="E10" s="4">
        <v>2</v>
      </c>
      <c r="F10" s="5">
        <f t="shared" si="0"/>
        <v>0.112</v>
      </c>
      <c r="G10" s="3"/>
    </row>
    <row r="11" spans="1:8">
      <c r="A11" s="1"/>
      <c r="B11" s="1">
        <v>56</v>
      </c>
      <c r="C11" s="1"/>
      <c r="D11" s="16" t="s">
        <v>194</v>
      </c>
      <c r="E11" s="4">
        <v>5</v>
      </c>
      <c r="F11" s="5">
        <f t="shared" si="0"/>
        <v>0.28000000000000003</v>
      </c>
      <c r="G11" s="3"/>
    </row>
    <row r="12" spans="1:8">
      <c r="A12" s="1"/>
      <c r="B12" s="1">
        <v>56</v>
      </c>
      <c r="C12" s="1" t="s">
        <v>274</v>
      </c>
      <c r="D12" s="1" t="s">
        <v>275</v>
      </c>
      <c r="E12" s="4">
        <v>100</v>
      </c>
      <c r="F12" s="5">
        <f t="shared" si="0"/>
        <v>5.6</v>
      </c>
      <c r="G12" s="3"/>
    </row>
    <row r="13" spans="1:8">
      <c r="A13" s="1"/>
      <c r="B13" s="1">
        <v>56</v>
      </c>
      <c r="C13" s="1"/>
      <c r="D13" s="1" t="s">
        <v>195</v>
      </c>
      <c r="E13" s="4">
        <v>0</v>
      </c>
      <c r="F13" s="5">
        <f t="shared" si="0"/>
        <v>0</v>
      </c>
      <c r="G13" s="3"/>
    </row>
    <row r="14" spans="1:8">
      <c r="A14" s="1"/>
      <c r="B14" s="1">
        <v>56</v>
      </c>
      <c r="C14" s="1" t="s">
        <v>19</v>
      </c>
      <c r="D14" s="1" t="s">
        <v>84</v>
      </c>
      <c r="E14" s="4">
        <v>40</v>
      </c>
      <c r="F14" s="5">
        <f t="shared" si="0"/>
        <v>2.2400000000000002</v>
      </c>
      <c r="G14" s="3"/>
    </row>
    <row r="15" spans="1:8">
      <c r="A15" s="1"/>
      <c r="B15" s="1">
        <v>56</v>
      </c>
      <c r="C15" s="1" t="s">
        <v>196</v>
      </c>
      <c r="D15" s="1" t="s">
        <v>196</v>
      </c>
      <c r="E15" s="4">
        <v>60</v>
      </c>
      <c r="F15" s="15" t="s">
        <v>197</v>
      </c>
      <c r="G15" s="3"/>
    </row>
    <row r="16" spans="1:8">
      <c r="A16" s="6"/>
      <c r="B16" s="6"/>
      <c r="C16" s="6"/>
      <c r="D16" s="6"/>
      <c r="E16" s="7"/>
      <c r="F16" s="8"/>
      <c r="G16" s="9"/>
    </row>
    <row r="17" spans="1:7">
      <c r="A17" s="2">
        <v>42020</v>
      </c>
      <c r="B17" s="1">
        <v>55</v>
      </c>
      <c r="C17" s="1" t="s">
        <v>98</v>
      </c>
      <c r="D17" s="1" t="s">
        <v>76</v>
      </c>
      <c r="E17" s="4">
        <v>50</v>
      </c>
      <c r="F17" s="5">
        <f>(B17*E17)/1000</f>
        <v>2.75</v>
      </c>
      <c r="G17" s="3"/>
    </row>
    <row r="18" spans="1:7">
      <c r="A18" s="1" t="s">
        <v>97</v>
      </c>
      <c r="B18" s="1">
        <v>55</v>
      </c>
      <c r="C18" s="1"/>
      <c r="D18" s="1" t="s">
        <v>11</v>
      </c>
      <c r="E18" s="4">
        <v>15</v>
      </c>
      <c r="F18" s="5">
        <f t="shared" ref="F18:F40" si="1">(B18*E18)/1000</f>
        <v>0.82499999999999996</v>
      </c>
      <c r="G18" s="3"/>
    </row>
    <row r="19" spans="1:7">
      <c r="A19" s="1" t="s">
        <v>7</v>
      </c>
      <c r="B19" s="1">
        <v>55</v>
      </c>
      <c r="C19" s="1"/>
      <c r="D19" s="1" t="s">
        <v>10</v>
      </c>
      <c r="E19" s="4">
        <v>15</v>
      </c>
      <c r="F19" s="5">
        <f t="shared" si="1"/>
        <v>0.82499999999999996</v>
      </c>
      <c r="G19" s="3"/>
    </row>
    <row r="20" spans="1:7">
      <c r="A20" s="1"/>
      <c r="B20" s="1">
        <v>55</v>
      </c>
      <c r="C20" s="1"/>
      <c r="D20" s="1" t="s">
        <v>17</v>
      </c>
      <c r="E20" s="4">
        <v>10</v>
      </c>
      <c r="F20" s="5">
        <f t="shared" si="1"/>
        <v>0.55000000000000004</v>
      </c>
      <c r="G20" s="3" t="s">
        <v>18</v>
      </c>
    </row>
    <row r="21" spans="1:7">
      <c r="A21" s="1"/>
      <c r="B21" s="1">
        <v>55</v>
      </c>
      <c r="C21" s="1" t="s">
        <v>198</v>
      </c>
      <c r="D21" s="1" t="s">
        <v>199</v>
      </c>
      <c r="E21" s="4">
        <v>100</v>
      </c>
      <c r="F21" s="5">
        <f t="shared" si="1"/>
        <v>5.5</v>
      </c>
      <c r="G21" s="3"/>
    </row>
    <row r="22" spans="1:7">
      <c r="A22" s="1"/>
      <c r="B22" s="1">
        <v>55</v>
      </c>
      <c r="C22" s="1" t="s">
        <v>99</v>
      </c>
      <c r="D22" s="1" t="s">
        <v>99</v>
      </c>
      <c r="E22" s="4">
        <v>60</v>
      </c>
      <c r="F22" s="5">
        <f t="shared" si="1"/>
        <v>3.3</v>
      </c>
      <c r="G22" s="3" t="s">
        <v>200</v>
      </c>
    </row>
    <row r="23" spans="1:7">
      <c r="A23" s="1"/>
      <c r="B23" s="1">
        <v>55</v>
      </c>
      <c r="C23" s="1" t="s">
        <v>111</v>
      </c>
      <c r="D23" s="1" t="s">
        <v>93</v>
      </c>
      <c r="E23" s="4">
        <v>40</v>
      </c>
      <c r="F23" s="5">
        <f t="shared" si="1"/>
        <v>2.2000000000000002</v>
      </c>
      <c r="G23" s="3"/>
    </row>
    <row r="24" spans="1:7">
      <c r="A24" s="6"/>
      <c r="B24" s="6"/>
      <c r="C24" s="6"/>
      <c r="D24" s="6"/>
      <c r="E24" s="7"/>
      <c r="F24" s="8"/>
      <c r="G24" s="9"/>
    </row>
    <row r="25" spans="1:7">
      <c r="A25" s="2">
        <v>42021</v>
      </c>
      <c r="B25" s="1">
        <v>56</v>
      </c>
      <c r="C25" s="1" t="s">
        <v>58</v>
      </c>
      <c r="D25" s="1" t="s">
        <v>201</v>
      </c>
      <c r="E25" s="4">
        <v>2</v>
      </c>
      <c r="F25" s="5">
        <f t="shared" si="1"/>
        <v>0.112</v>
      </c>
      <c r="G25" s="3"/>
    </row>
    <row r="26" spans="1:7">
      <c r="A26" s="1" t="s">
        <v>97</v>
      </c>
      <c r="B26" s="1">
        <v>56</v>
      </c>
      <c r="C26" s="1" t="s">
        <v>202</v>
      </c>
      <c r="D26" s="1" t="s">
        <v>106</v>
      </c>
      <c r="E26" s="4">
        <v>30</v>
      </c>
      <c r="F26" s="5">
        <f t="shared" si="1"/>
        <v>1.68</v>
      </c>
      <c r="G26" s="3" t="s">
        <v>162</v>
      </c>
    </row>
    <row r="27" spans="1:7">
      <c r="A27" s="1" t="s">
        <v>20</v>
      </c>
      <c r="B27" s="1">
        <v>56</v>
      </c>
      <c r="C27" s="1"/>
      <c r="D27" s="1" t="s">
        <v>33</v>
      </c>
      <c r="E27" s="4">
        <v>50</v>
      </c>
      <c r="F27" s="5">
        <f t="shared" si="1"/>
        <v>2.8</v>
      </c>
      <c r="G27" s="3"/>
    </row>
    <row r="28" spans="1:7">
      <c r="A28" s="1"/>
      <c r="B28" s="1">
        <v>56</v>
      </c>
      <c r="C28" s="1"/>
      <c r="D28" s="1" t="s">
        <v>17</v>
      </c>
      <c r="E28" s="4">
        <v>10</v>
      </c>
      <c r="F28" s="5">
        <f t="shared" si="1"/>
        <v>0.56000000000000005</v>
      </c>
      <c r="G28" s="3"/>
    </row>
    <row r="29" spans="1:7">
      <c r="A29" s="1"/>
      <c r="B29" s="1">
        <v>56</v>
      </c>
      <c r="C29" s="1"/>
      <c r="D29" s="1" t="s">
        <v>27</v>
      </c>
      <c r="E29" s="4">
        <v>2</v>
      </c>
      <c r="F29" s="5">
        <f t="shared" si="1"/>
        <v>0.112</v>
      </c>
      <c r="G29" s="3"/>
    </row>
    <row r="30" spans="1:7">
      <c r="A30" s="1"/>
      <c r="B30" s="1">
        <v>56</v>
      </c>
      <c r="C30" s="1" t="s">
        <v>203</v>
      </c>
      <c r="D30" s="1" t="s">
        <v>203</v>
      </c>
      <c r="E30" s="4">
        <v>100</v>
      </c>
      <c r="F30" s="5">
        <f t="shared" si="1"/>
        <v>5.6</v>
      </c>
      <c r="G30" s="3" t="s">
        <v>162</v>
      </c>
    </row>
    <row r="31" spans="1:7">
      <c r="A31" s="1"/>
      <c r="B31" s="1">
        <v>56</v>
      </c>
      <c r="C31" s="1"/>
      <c r="D31" s="1" t="s">
        <v>204</v>
      </c>
      <c r="E31" s="4">
        <v>30</v>
      </c>
      <c r="F31" s="5">
        <f t="shared" si="1"/>
        <v>1.68</v>
      </c>
      <c r="G31" s="3" t="s">
        <v>276</v>
      </c>
    </row>
    <row r="32" spans="1:7">
      <c r="A32" s="1"/>
      <c r="B32" s="1">
        <v>56</v>
      </c>
      <c r="C32" s="1"/>
      <c r="D32" s="1" t="s">
        <v>78</v>
      </c>
      <c r="E32" s="4">
        <v>0</v>
      </c>
      <c r="F32" s="5">
        <f t="shared" si="1"/>
        <v>0</v>
      </c>
      <c r="G32" s="3"/>
    </row>
    <row r="33" spans="1:7">
      <c r="A33" s="1"/>
      <c r="B33" s="1">
        <v>56</v>
      </c>
      <c r="C33" s="1" t="s">
        <v>205</v>
      </c>
      <c r="D33" s="1" t="s">
        <v>65</v>
      </c>
      <c r="E33" s="4">
        <v>40</v>
      </c>
      <c r="F33" s="5">
        <f t="shared" si="1"/>
        <v>2.2400000000000002</v>
      </c>
      <c r="G33" s="3"/>
    </row>
    <row r="34" spans="1:7">
      <c r="A34" s="1"/>
      <c r="B34" s="1">
        <v>56</v>
      </c>
      <c r="C34" s="1"/>
      <c r="D34" s="1" t="s">
        <v>86</v>
      </c>
      <c r="E34" s="4">
        <v>40</v>
      </c>
      <c r="F34" s="5">
        <f t="shared" si="1"/>
        <v>2.2400000000000002</v>
      </c>
      <c r="G34" s="3"/>
    </row>
    <row r="35" spans="1:7">
      <c r="A35" s="1"/>
      <c r="B35" s="1">
        <v>56</v>
      </c>
      <c r="C35" s="1"/>
      <c r="D35" s="1" t="s">
        <v>43</v>
      </c>
      <c r="E35" s="4">
        <v>5</v>
      </c>
      <c r="F35" s="5">
        <f t="shared" si="1"/>
        <v>0.28000000000000003</v>
      </c>
      <c r="G35" s="3"/>
    </row>
    <row r="36" spans="1:7">
      <c r="A36" s="1"/>
      <c r="B36" s="1">
        <v>56</v>
      </c>
      <c r="C36" s="1"/>
      <c r="D36" s="1" t="s">
        <v>150</v>
      </c>
      <c r="E36" s="4">
        <v>5</v>
      </c>
      <c r="F36" s="5">
        <f t="shared" si="1"/>
        <v>0.28000000000000003</v>
      </c>
      <c r="G36" s="3"/>
    </row>
    <row r="37" spans="1:7">
      <c r="A37" s="1"/>
      <c r="B37" s="1">
        <v>56</v>
      </c>
      <c r="C37" s="1"/>
      <c r="D37" s="1" t="s">
        <v>206</v>
      </c>
      <c r="E37" s="4">
        <v>20</v>
      </c>
      <c r="F37" s="5">
        <f t="shared" si="1"/>
        <v>1.1200000000000001</v>
      </c>
      <c r="G37" s="3"/>
    </row>
    <row r="38" spans="1:7">
      <c r="A38" s="1"/>
      <c r="B38" s="1">
        <v>56</v>
      </c>
      <c r="C38" s="1"/>
      <c r="D38" s="1" t="s">
        <v>41</v>
      </c>
      <c r="E38" s="4">
        <v>20</v>
      </c>
      <c r="F38" s="5">
        <f t="shared" si="1"/>
        <v>1.1200000000000001</v>
      </c>
      <c r="G38" s="3"/>
    </row>
    <row r="39" spans="1:7">
      <c r="A39" s="1"/>
      <c r="B39" s="1">
        <v>56</v>
      </c>
      <c r="C39" s="1"/>
      <c r="D39" s="1" t="s">
        <v>207</v>
      </c>
      <c r="E39" s="4">
        <v>30</v>
      </c>
      <c r="F39" s="5">
        <f t="shared" si="1"/>
        <v>1.68</v>
      </c>
      <c r="G39" s="3"/>
    </row>
    <row r="40" spans="1:7">
      <c r="A40" s="1"/>
      <c r="B40" s="1">
        <v>56</v>
      </c>
      <c r="C40" s="1" t="s">
        <v>113</v>
      </c>
      <c r="D40" s="1" t="s">
        <v>113</v>
      </c>
      <c r="E40" s="4">
        <v>40</v>
      </c>
      <c r="F40" s="5">
        <f t="shared" si="1"/>
        <v>2.2400000000000002</v>
      </c>
      <c r="G40" s="3"/>
    </row>
    <row r="41" spans="1:7">
      <c r="A41" s="6"/>
      <c r="B41" s="6"/>
      <c r="C41" s="6"/>
      <c r="D41" s="6"/>
      <c r="E41" s="7"/>
      <c r="F41" s="8"/>
      <c r="G41" s="9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"/>
  <sheetViews>
    <sheetView topLeftCell="A3" workbookViewId="0">
      <selection activeCell="D37" sqref="D37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208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42020</v>
      </c>
      <c r="B3" s="1">
        <v>56</v>
      </c>
      <c r="C3" s="1" t="s">
        <v>115</v>
      </c>
      <c r="D3" s="1" t="s">
        <v>114</v>
      </c>
      <c r="E3" s="4">
        <v>2</v>
      </c>
      <c r="F3" s="5">
        <f>(B3*E3)/1000</f>
        <v>0.112</v>
      </c>
      <c r="G3" s="3"/>
    </row>
    <row r="4" spans="1:8">
      <c r="A4" s="1" t="s">
        <v>97</v>
      </c>
      <c r="B4" s="1">
        <v>56</v>
      </c>
      <c r="C4" s="1" t="s">
        <v>116</v>
      </c>
      <c r="D4" s="1" t="s">
        <v>35</v>
      </c>
      <c r="E4" s="4">
        <v>30</v>
      </c>
      <c r="F4" s="5">
        <f t="shared" ref="F4:F11" si="0">(B4*E4)/1000</f>
        <v>1.68</v>
      </c>
      <c r="G4" s="3"/>
    </row>
    <row r="5" spans="1:8">
      <c r="A5" s="1" t="s">
        <v>21</v>
      </c>
      <c r="B5" s="1">
        <v>56</v>
      </c>
      <c r="C5" s="1" t="s">
        <v>117</v>
      </c>
      <c r="D5" s="1" t="s">
        <v>118</v>
      </c>
      <c r="E5" s="4">
        <v>150</v>
      </c>
      <c r="F5" s="5">
        <f t="shared" si="0"/>
        <v>8.4</v>
      </c>
      <c r="G5" s="3"/>
    </row>
    <row r="6" spans="1:8">
      <c r="A6" s="1"/>
      <c r="B6" s="1">
        <v>56</v>
      </c>
      <c r="C6" s="1"/>
      <c r="D6" s="1" t="s">
        <v>65</v>
      </c>
      <c r="E6" s="4">
        <v>30</v>
      </c>
      <c r="F6" s="5">
        <f t="shared" si="0"/>
        <v>1.68</v>
      </c>
      <c r="G6" s="3"/>
    </row>
    <row r="7" spans="1:8">
      <c r="A7" s="1"/>
      <c r="B7" s="1">
        <v>56</v>
      </c>
      <c r="C7" s="1"/>
      <c r="D7" s="1" t="s">
        <v>119</v>
      </c>
      <c r="E7" s="4">
        <v>30</v>
      </c>
      <c r="F7" s="5">
        <f t="shared" si="0"/>
        <v>1.68</v>
      </c>
      <c r="G7" s="3"/>
    </row>
    <row r="8" spans="1:8">
      <c r="A8" s="1"/>
      <c r="B8" s="1">
        <v>56</v>
      </c>
      <c r="C8" s="1"/>
      <c r="D8" s="1" t="s">
        <v>120</v>
      </c>
      <c r="E8" s="4">
        <v>10</v>
      </c>
      <c r="F8" s="5">
        <f t="shared" si="0"/>
        <v>0.56000000000000005</v>
      </c>
      <c r="G8" s="3"/>
    </row>
    <row r="9" spans="1:8">
      <c r="A9" s="1"/>
      <c r="B9" s="1">
        <v>56</v>
      </c>
      <c r="C9" s="1"/>
      <c r="D9" s="1" t="s">
        <v>17</v>
      </c>
      <c r="E9" s="4">
        <v>10</v>
      </c>
      <c r="F9" s="5">
        <f t="shared" si="0"/>
        <v>0.56000000000000005</v>
      </c>
      <c r="G9" s="3"/>
    </row>
    <row r="10" spans="1:8">
      <c r="A10" s="1"/>
      <c r="B10" s="1">
        <v>56</v>
      </c>
      <c r="C10" s="1" t="s">
        <v>210</v>
      </c>
      <c r="D10" s="1" t="s">
        <v>209</v>
      </c>
      <c r="E10" s="4">
        <v>100</v>
      </c>
      <c r="F10" s="5">
        <f t="shared" si="0"/>
        <v>5.6</v>
      </c>
      <c r="G10" s="3"/>
    </row>
    <row r="11" spans="1:8">
      <c r="A11" s="1"/>
      <c r="B11" s="1">
        <v>56</v>
      </c>
      <c r="C11" s="1" t="s">
        <v>19</v>
      </c>
      <c r="D11" s="1" t="s">
        <v>19</v>
      </c>
      <c r="E11" s="4">
        <v>40</v>
      </c>
      <c r="F11" s="5">
        <f t="shared" si="0"/>
        <v>2.2400000000000002</v>
      </c>
      <c r="G11" s="3"/>
    </row>
    <row r="12" spans="1:8">
      <c r="A12" s="6"/>
      <c r="B12" s="6"/>
      <c r="C12" s="6"/>
      <c r="D12" s="6"/>
      <c r="E12" s="7"/>
      <c r="F12" s="8"/>
      <c r="G12" s="9"/>
    </row>
    <row r="13" spans="1:8">
      <c r="A13" s="2">
        <v>42021</v>
      </c>
      <c r="B13" s="1">
        <v>55</v>
      </c>
      <c r="C13" s="1" t="s">
        <v>89</v>
      </c>
      <c r="D13" s="1" t="s">
        <v>211</v>
      </c>
      <c r="E13" s="4">
        <v>60</v>
      </c>
      <c r="F13" s="5">
        <f t="shared" ref="F13:F34" si="1">(B13*E13)/1000</f>
        <v>3.3</v>
      </c>
      <c r="G13" s="3"/>
    </row>
    <row r="14" spans="1:8">
      <c r="A14" s="1" t="s">
        <v>121</v>
      </c>
      <c r="B14" s="1">
        <v>55</v>
      </c>
      <c r="C14" s="1"/>
      <c r="D14" s="1" t="s">
        <v>13</v>
      </c>
      <c r="E14" s="4">
        <v>100</v>
      </c>
      <c r="F14" s="5">
        <f t="shared" si="1"/>
        <v>5.5</v>
      </c>
      <c r="G14" s="3"/>
    </row>
    <row r="15" spans="1:8">
      <c r="A15" s="1" t="s">
        <v>7</v>
      </c>
      <c r="B15" s="1">
        <v>55</v>
      </c>
      <c r="C15" s="1"/>
      <c r="D15" s="1" t="s">
        <v>27</v>
      </c>
      <c r="E15" s="4">
        <v>20</v>
      </c>
      <c r="F15" s="5">
        <f t="shared" si="1"/>
        <v>1.1000000000000001</v>
      </c>
      <c r="G15" s="3"/>
    </row>
    <row r="16" spans="1:8">
      <c r="A16" s="1"/>
      <c r="B16" s="1">
        <v>55</v>
      </c>
      <c r="C16" s="1" t="s">
        <v>212</v>
      </c>
      <c r="D16" s="1" t="s">
        <v>213</v>
      </c>
      <c r="E16" s="4">
        <v>100</v>
      </c>
      <c r="F16" s="5">
        <f t="shared" si="1"/>
        <v>5.5</v>
      </c>
      <c r="G16" s="3"/>
    </row>
    <row r="17" spans="1:7">
      <c r="A17" s="1"/>
      <c r="B17" s="1">
        <v>55</v>
      </c>
      <c r="C17" s="1"/>
      <c r="D17" s="1" t="s">
        <v>214</v>
      </c>
      <c r="E17" s="4">
        <v>0</v>
      </c>
      <c r="F17" s="5">
        <f t="shared" si="1"/>
        <v>0</v>
      </c>
      <c r="G17" s="3"/>
    </row>
    <row r="18" spans="1:7">
      <c r="A18" s="1"/>
      <c r="B18" s="1">
        <v>55</v>
      </c>
      <c r="C18" s="1" t="s">
        <v>122</v>
      </c>
      <c r="D18" s="1" t="s">
        <v>122</v>
      </c>
      <c r="E18" s="4">
        <v>30</v>
      </c>
      <c r="F18" s="5">
        <f t="shared" si="1"/>
        <v>1.65</v>
      </c>
      <c r="G18" s="3" t="s">
        <v>162</v>
      </c>
    </row>
    <row r="19" spans="1:7">
      <c r="A19" s="1"/>
      <c r="B19" s="1">
        <v>55</v>
      </c>
      <c r="C19" s="1" t="s">
        <v>19</v>
      </c>
      <c r="D19" s="1" t="s">
        <v>19</v>
      </c>
      <c r="E19" s="4">
        <v>40</v>
      </c>
      <c r="F19" s="5">
        <f t="shared" si="1"/>
        <v>2.2000000000000002</v>
      </c>
      <c r="G19" s="3"/>
    </row>
    <row r="20" spans="1:7">
      <c r="A20" s="6"/>
      <c r="B20" s="6"/>
      <c r="C20" s="6"/>
      <c r="D20" s="6"/>
      <c r="E20" s="7"/>
      <c r="F20" s="8"/>
      <c r="G20" s="9"/>
    </row>
    <row r="21" spans="1:7">
      <c r="A21" s="2">
        <v>42021</v>
      </c>
      <c r="B21" s="1">
        <v>55</v>
      </c>
      <c r="C21" s="1" t="s">
        <v>217</v>
      </c>
      <c r="D21" s="1" t="s">
        <v>218</v>
      </c>
      <c r="E21" s="4">
        <v>20</v>
      </c>
      <c r="F21" s="5">
        <f t="shared" si="1"/>
        <v>1.1000000000000001</v>
      </c>
      <c r="G21" s="3" t="s">
        <v>229</v>
      </c>
    </row>
    <row r="22" spans="1:7">
      <c r="A22" s="1" t="s">
        <v>215</v>
      </c>
      <c r="B22" s="1">
        <v>55</v>
      </c>
      <c r="C22" s="1"/>
      <c r="D22" s="1" t="s">
        <v>219</v>
      </c>
      <c r="E22" s="4">
        <v>20</v>
      </c>
      <c r="F22" s="5">
        <f t="shared" si="1"/>
        <v>1.1000000000000001</v>
      </c>
      <c r="G22" s="3"/>
    </row>
    <row r="23" spans="1:7">
      <c r="A23" s="1" t="s">
        <v>216</v>
      </c>
      <c r="B23" s="1">
        <v>55</v>
      </c>
      <c r="C23" s="1"/>
      <c r="D23" s="1" t="s">
        <v>220</v>
      </c>
      <c r="E23" s="4">
        <v>30</v>
      </c>
      <c r="F23" s="5">
        <f t="shared" si="1"/>
        <v>1.65</v>
      </c>
      <c r="G23" s="3"/>
    </row>
    <row r="24" spans="1:7">
      <c r="A24" s="1"/>
      <c r="B24" s="1">
        <v>55</v>
      </c>
      <c r="C24" s="1"/>
      <c r="D24" s="1" t="s">
        <v>221</v>
      </c>
      <c r="E24" s="4">
        <v>30</v>
      </c>
      <c r="F24" s="5">
        <f t="shared" si="1"/>
        <v>1.65</v>
      </c>
      <c r="G24" s="3"/>
    </row>
    <row r="25" spans="1:7">
      <c r="A25" s="1"/>
      <c r="B25" s="1">
        <v>55</v>
      </c>
      <c r="C25" s="1"/>
      <c r="D25" s="1" t="s">
        <v>150</v>
      </c>
      <c r="E25" s="4">
        <v>20</v>
      </c>
      <c r="F25" s="5">
        <f t="shared" si="1"/>
        <v>1.1000000000000001</v>
      </c>
      <c r="G25" s="3"/>
    </row>
    <row r="26" spans="1:7">
      <c r="A26" s="1"/>
      <c r="B26" s="1">
        <v>55</v>
      </c>
      <c r="C26" s="1"/>
      <c r="D26" s="1" t="s">
        <v>143</v>
      </c>
      <c r="E26" s="4">
        <v>30</v>
      </c>
      <c r="F26" s="5">
        <f t="shared" si="1"/>
        <v>1.65</v>
      </c>
      <c r="G26" s="3"/>
    </row>
    <row r="27" spans="1:7">
      <c r="A27" s="1"/>
      <c r="B27" s="1">
        <v>55</v>
      </c>
      <c r="C27" s="1" t="s">
        <v>222</v>
      </c>
      <c r="D27" s="1" t="s">
        <v>183</v>
      </c>
      <c r="E27" s="4">
        <v>20</v>
      </c>
      <c r="F27" s="5">
        <f t="shared" si="1"/>
        <v>1.1000000000000001</v>
      </c>
      <c r="G27" s="3"/>
    </row>
    <row r="28" spans="1:7">
      <c r="A28" s="1"/>
      <c r="B28" s="1">
        <v>55</v>
      </c>
      <c r="C28" s="1"/>
      <c r="D28" s="1" t="s">
        <v>152</v>
      </c>
      <c r="E28" s="4">
        <v>20</v>
      </c>
      <c r="F28" s="5">
        <f t="shared" si="1"/>
        <v>1.1000000000000001</v>
      </c>
      <c r="G28" s="3"/>
    </row>
    <row r="29" spans="1:7">
      <c r="A29" s="1"/>
      <c r="B29" s="1">
        <v>55</v>
      </c>
      <c r="C29" s="1" t="s">
        <v>223</v>
      </c>
      <c r="D29" s="1" t="s">
        <v>224</v>
      </c>
      <c r="E29" s="4">
        <v>100</v>
      </c>
      <c r="F29" s="5">
        <f t="shared" si="1"/>
        <v>5.5</v>
      </c>
      <c r="G29" s="3"/>
    </row>
    <row r="30" spans="1:7">
      <c r="A30" s="1"/>
      <c r="B30" s="1">
        <v>55</v>
      </c>
      <c r="C30" s="1"/>
      <c r="D30" s="1" t="s">
        <v>225</v>
      </c>
      <c r="E30" s="4">
        <v>30</v>
      </c>
      <c r="F30" s="5">
        <f t="shared" si="1"/>
        <v>1.65</v>
      </c>
      <c r="G30" s="3"/>
    </row>
    <row r="31" spans="1:7">
      <c r="A31" s="1"/>
      <c r="B31" s="1">
        <v>55</v>
      </c>
      <c r="C31" s="1"/>
      <c r="D31" s="1" t="s">
        <v>226</v>
      </c>
      <c r="E31" s="4">
        <v>30</v>
      </c>
      <c r="F31" s="5">
        <f t="shared" si="1"/>
        <v>1.65</v>
      </c>
      <c r="G31" s="3"/>
    </row>
    <row r="32" spans="1:7">
      <c r="A32" s="1"/>
      <c r="B32" s="1">
        <v>55</v>
      </c>
      <c r="C32" s="1"/>
      <c r="D32" s="1" t="s">
        <v>143</v>
      </c>
      <c r="E32" s="4">
        <v>20</v>
      </c>
      <c r="F32" s="5">
        <f t="shared" si="1"/>
        <v>1.1000000000000001</v>
      </c>
      <c r="G32" s="3"/>
    </row>
    <row r="33" spans="1:7">
      <c r="A33" s="1"/>
      <c r="B33" s="1">
        <v>55</v>
      </c>
      <c r="C33" s="1" t="s">
        <v>227</v>
      </c>
      <c r="D33" s="1" t="s">
        <v>227</v>
      </c>
      <c r="E33" s="4">
        <v>30</v>
      </c>
      <c r="F33" s="5">
        <f t="shared" si="1"/>
        <v>1.65</v>
      </c>
      <c r="G33" s="3"/>
    </row>
    <row r="34" spans="1:7">
      <c r="A34" s="1"/>
      <c r="B34" s="1">
        <v>55</v>
      </c>
      <c r="C34" s="1" t="s">
        <v>228</v>
      </c>
      <c r="D34" s="1" t="s">
        <v>228</v>
      </c>
      <c r="E34" s="4">
        <v>40</v>
      </c>
      <c r="F34" s="5">
        <f t="shared" si="1"/>
        <v>2.2000000000000002</v>
      </c>
      <c r="G34" s="3"/>
    </row>
    <row r="35" spans="1:7">
      <c r="A35" s="1"/>
      <c r="B35" s="1"/>
      <c r="C35" s="1"/>
      <c r="D35" s="1"/>
      <c r="E35" s="4"/>
      <c r="F35" s="15"/>
      <c r="G35" s="3"/>
    </row>
    <row r="36" spans="1:7">
      <c r="A36" s="11"/>
      <c r="B36" s="1"/>
      <c r="C36" s="11"/>
      <c r="D36" s="11"/>
      <c r="E36" s="12"/>
      <c r="F36" s="13"/>
      <c r="G36" s="1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2"/>
  <sheetViews>
    <sheetView topLeftCell="A8" workbookViewId="0">
      <selection activeCell="G39" sqref="G39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230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42021</v>
      </c>
      <c r="B3" s="1">
        <v>55</v>
      </c>
      <c r="C3" s="1" t="s">
        <v>231</v>
      </c>
      <c r="D3" s="1" t="s">
        <v>232</v>
      </c>
      <c r="E3" s="4">
        <v>2</v>
      </c>
      <c r="F3" s="5">
        <f>(B3*E3)/1000</f>
        <v>0.11</v>
      </c>
      <c r="G3" s="3"/>
    </row>
    <row r="4" spans="1:8">
      <c r="A4" s="1" t="s">
        <v>121</v>
      </c>
      <c r="B4" s="1">
        <v>55</v>
      </c>
      <c r="C4" s="1" t="s">
        <v>234</v>
      </c>
      <c r="D4" s="1" t="s">
        <v>233</v>
      </c>
      <c r="E4" s="4">
        <v>60</v>
      </c>
      <c r="F4" s="5">
        <f t="shared" ref="F4:F13" si="0">(B4*E4)/1000</f>
        <v>3.3</v>
      </c>
      <c r="G4" s="3"/>
    </row>
    <row r="5" spans="1:8">
      <c r="A5" s="1" t="s">
        <v>21</v>
      </c>
      <c r="B5" s="1">
        <v>55</v>
      </c>
      <c r="C5" s="1"/>
      <c r="D5" s="1" t="s">
        <v>192</v>
      </c>
      <c r="E5" s="4">
        <v>20</v>
      </c>
      <c r="F5" s="5">
        <f t="shared" si="0"/>
        <v>1.1000000000000001</v>
      </c>
      <c r="G5" s="3"/>
    </row>
    <row r="6" spans="1:8">
      <c r="A6" s="1"/>
      <c r="B6" s="1">
        <v>55</v>
      </c>
      <c r="C6" s="1"/>
      <c r="D6" s="1" t="s">
        <v>48</v>
      </c>
      <c r="E6" s="4">
        <v>20</v>
      </c>
      <c r="F6" s="5">
        <f t="shared" si="0"/>
        <v>1.1000000000000001</v>
      </c>
      <c r="G6" s="3"/>
    </row>
    <row r="7" spans="1:8">
      <c r="A7" s="1"/>
      <c r="B7" s="1">
        <v>55</v>
      </c>
      <c r="C7" s="1"/>
      <c r="D7" s="1" t="s">
        <v>17</v>
      </c>
      <c r="E7" s="4">
        <v>10</v>
      </c>
      <c r="F7" s="5">
        <f t="shared" si="0"/>
        <v>0.55000000000000004</v>
      </c>
      <c r="G7" s="3"/>
    </row>
    <row r="8" spans="1:8">
      <c r="A8" s="1"/>
      <c r="B8" s="1">
        <v>55</v>
      </c>
      <c r="C8" s="1" t="s">
        <v>235</v>
      </c>
      <c r="D8" s="1" t="s">
        <v>236</v>
      </c>
      <c r="E8" s="4">
        <v>120</v>
      </c>
      <c r="F8" s="5">
        <f t="shared" si="0"/>
        <v>6.6</v>
      </c>
      <c r="G8" s="3" t="s">
        <v>237</v>
      </c>
    </row>
    <row r="9" spans="1:8">
      <c r="A9" s="1"/>
      <c r="B9" s="1">
        <v>55</v>
      </c>
      <c r="C9" s="1"/>
      <c r="D9" s="1" t="s">
        <v>17</v>
      </c>
      <c r="E9" s="4">
        <v>30</v>
      </c>
      <c r="F9" s="5">
        <f t="shared" si="0"/>
        <v>1.65</v>
      </c>
      <c r="G9" s="3"/>
    </row>
    <row r="10" spans="1:8">
      <c r="A10" s="1"/>
      <c r="B10" s="1">
        <v>55</v>
      </c>
      <c r="C10" s="1"/>
      <c r="D10" s="1" t="s">
        <v>31</v>
      </c>
      <c r="E10" s="4">
        <v>20</v>
      </c>
      <c r="F10" s="5">
        <f t="shared" si="0"/>
        <v>1.1000000000000001</v>
      </c>
      <c r="G10" s="3"/>
    </row>
    <row r="11" spans="1:8">
      <c r="A11" s="1"/>
      <c r="B11" s="1">
        <v>55</v>
      </c>
      <c r="C11" s="1" t="s">
        <v>238</v>
      </c>
      <c r="D11" s="1" t="s">
        <v>239</v>
      </c>
      <c r="E11" s="4">
        <v>50</v>
      </c>
      <c r="F11" s="5">
        <f t="shared" si="0"/>
        <v>2.75</v>
      </c>
      <c r="G11" s="3"/>
    </row>
    <row r="12" spans="1:8">
      <c r="A12" s="1"/>
      <c r="B12" s="1">
        <v>55</v>
      </c>
      <c r="C12" s="1"/>
      <c r="D12" s="1" t="s">
        <v>240</v>
      </c>
      <c r="E12" s="4">
        <v>10</v>
      </c>
      <c r="F12" s="5">
        <f t="shared" si="0"/>
        <v>0.55000000000000004</v>
      </c>
      <c r="G12" s="3"/>
    </row>
    <row r="13" spans="1:8">
      <c r="A13" s="1"/>
      <c r="B13" s="1">
        <v>55</v>
      </c>
      <c r="C13" s="1" t="s">
        <v>19</v>
      </c>
      <c r="D13" s="1" t="s">
        <v>19</v>
      </c>
      <c r="E13" s="4">
        <v>40</v>
      </c>
      <c r="F13" s="5">
        <f t="shared" si="0"/>
        <v>2.2000000000000002</v>
      </c>
      <c r="G13" s="3"/>
    </row>
    <row r="14" spans="1:8">
      <c r="A14" s="6"/>
      <c r="B14" s="6"/>
      <c r="C14" s="6"/>
      <c r="D14" s="6"/>
      <c r="E14" s="7"/>
      <c r="F14" s="8"/>
      <c r="G14" s="9"/>
    </row>
    <row r="15" spans="1:8">
      <c r="A15" s="2">
        <v>42022</v>
      </c>
      <c r="B15" s="1">
        <v>56</v>
      </c>
      <c r="C15" s="1" t="s">
        <v>243</v>
      </c>
      <c r="D15" s="1" t="s">
        <v>244</v>
      </c>
      <c r="E15" s="4">
        <v>70</v>
      </c>
      <c r="F15" s="5">
        <f t="shared" ref="F15:F40" si="1">(B15*E15)/1000</f>
        <v>3.92</v>
      </c>
      <c r="G15" s="3"/>
    </row>
    <row r="16" spans="1:8">
      <c r="A16" s="1" t="s">
        <v>241</v>
      </c>
      <c r="B16" s="1">
        <v>56</v>
      </c>
      <c r="C16" s="1"/>
      <c r="D16" s="1" t="s">
        <v>245</v>
      </c>
      <c r="E16" s="4">
        <v>20</v>
      </c>
      <c r="F16" s="5">
        <f t="shared" si="1"/>
        <v>1.1200000000000001</v>
      </c>
      <c r="G16" s="3"/>
    </row>
    <row r="17" spans="1:7">
      <c r="A17" s="1" t="s">
        <v>7</v>
      </c>
      <c r="B17" s="1">
        <v>56</v>
      </c>
      <c r="C17" s="1"/>
      <c r="D17" s="1" t="s">
        <v>43</v>
      </c>
      <c r="E17" s="4">
        <v>20</v>
      </c>
      <c r="F17" s="5">
        <f t="shared" si="1"/>
        <v>1.1200000000000001</v>
      </c>
      <c r="G17" s="3"/>
    </row>
    <row r="18" spans="1:7">
      <c r="A18" s="1"/>
      <c r="B18" s="1">
        <v>56</v>
      </c>
      <c r="C18" s="1"/>
      <c r="D18" s="1" t="s">
        <v>246</v>
      </c>
      <c r="E18" s="4">
        <v>10</v>
      </c>
      <c r="F18" s="5">
        <f t="shared" si="1"/>
        <v>0.56000000000000005</v>
      </c>
      <c r="G18" s="3"/>
    </row>
    <row r="19" spans="1:7">
      <c r="A19" s="1"/>
      <c r="B19" s="1">
        <v>56</v>
      </c>
      <c r="C19" s="1"/>
      <c r="D19" s="1" t="s">
        <v>247</v>
      </c>
      <c r="E19" s="4">
        <v>20</v>
      </c>
      <c r="F19" s="5">
        <f t="shared" si="1"/>
        <v>1.1200000000000001</v>
      </c>
      <c r="G19" s="3"/>
    </row>
    <row r="20" spans="1:7">
      <c r="A20" s="1"/>
      <c r="B20" s="1">
        <v>56</v>
      </c>
      <c r="C20" s="1"/>
      <c r="D20" s="1" t="s">
        <v>248</v>
      </c>
      <c r="E20" s="4">
        <v>10</v>
      </c>
      <c r="F20" s="5">
        <f t="shared" si="1"/>
        <v>0.56000000000000005</v>
      </c>
      <c r="G20" s="3"/>
    </row>
    <row r="21" spans="1:7">
      <c r="A21" s="1"/>
      <c r="B21" s="1">
        <v>56</v>
      </c>
      <c r="C21" s="1"/>
      <c r="D21" s="1" t="s">
        <v>249</v>
      </c>
      <c r="E21" s="4">
        <v>30</v>
      </c>
      <c r="F21" s="5">
        <f t="shared" si="1"/>
        <v>1.68</v>
      </c>
      <c r="G21" s="3"/>
    </row>
    <row r="22" spans="1:7">
      <c r="A22" s="1"/>
      <c r="B22" s="1">
        <v>56</v>
      </c>
      <c r="C22" s="1"/>
      <c r="D22" s="1" t="s">
        <v>87</v>
      </c>
      <c r="E22" s="4">
        <v>10</v>
      </c>
      <c r="F22" s="5">
        <f t="shared" si="1"/>
        <v>0.56000000000000005</v>
      </c>
      <c r="G22" s="3"/>
    </row>
    <row r="23" spans="1:7">
      <c r="A23" s="1"/>
      <c r="B23" s="1">
        <v>56</v>
      </c>
      <c r="C23" s="1" t="s">
        <v>250</v>
      </c>
      <c r="D23" s="1" t="s">
        <v>250</v>
      </c>
      <c r="E23" s="4">
        <v>200</v>
      </c>
      <c r="F23" s="15" t="s">
        <v>251</v>
      </c>
      <c r="G23" s="3"/>
    </row>
    <row r="24" spans="1:7">
      <c r="A24" s="1"/>
      <c r="B24" s="1">
        <v>56</v>
      </c>
      <c r="C24" s="1" t="s">
        <v>252</v>
      </c>
      <c r="D24" s="1" t="s">
        <v>252</v>
      </c>
      <c r="E24" s="4">
        <v>30</v>
      </c>
      <c r="F24" s="5">
        <f t="shared" si="1"/>
        <v>1.68</v>
      </c>
      <c r="G24" s="3"/>
    </row>
    <row r="25" spans="1:7">
      <c r="A25" s="1"/>
      <c r="B25" s="1">
        <v>56</v>
      </c>
      <c r="C25" s="1" t="s">
        <v>253</v>
      </c>
      <c r="D25" s="1" t="s">
        <v>253</v>
      </c>
      <c r="E25" s="4">
        <v>60</v>
      </c>
      <c r="F25" s="15" t="s">
        <v>254</v>
      </c>
      <c r="G25" s="3"/>
    </row>
    <row r="26" spans="1:7">
      <c r="A26" s="1"/>
      <c r="B26" s="1">
        <v>56</v>
      </c>
      <c r="C26" s="1" t="s">
        <v>42</v>
      </c>
      <c r="D26" s="1" t="s">
        <v>42</v>
      </c>
      <c r="E26" s="4">
        <v>100</v>
      </c>
      <c r="F26" s="5">
        <f t="shared" si="1"/>
        <v>5.6</v>
      </c>
      <c r="G26" s="3"/>
    </row>
    <row r="27" spans="1:7">
      <c r="A27" s="6"/>
      <c r="B27" s="6"/>
      <c r="C27" s="6"/>
      <c r="D27" s="6"/>
      <c r="E27" s="7"/>
      <c r="F27" s="8"/>
      <c r="G27" s="9"/>
    </row>
    <row r="28" spans="1:7">
      <c r="A28" s="2">
        <v>42022</v>
      </c>
      <c r="B28" s="1">
        <v>56</v>
      </c>
      <c r="C28" s="1" t="s">
        <v>138</v>
      </c>
      <c r="D28" s="1" t="s">
        <v>255</v>
      </c>
      <c r="E28" s="4">
        <v>2</v>
      </c>
      <c r="F28" s="5">
        <f t="shared" si="1"/>
        <v>0.112</v>
      </c>
      <c r="G28" s="3"/>
    </row>
    <row r="29" spans="1:7">
      <c r="A29" s="1" t="s">
        <v>242</v>
      </c>
      <c r="B29" s="1">
        <v>56</v>
      </c>
      <c r="C29" s="1" t="s">
        <v>256</v>
      </c>
      <c r="D29" s="1" t="s">
        <v>257</v>
      </c>
      <c r="E29" s="4">
        <v>20</v>
      </c>
      <c r="F29" s="5">
        <f t="shared" si="1"/>
        <v>1.1200000000000001</v>
      </c>
      <c r="G29" s="3"/>
    </row>
    <row r="30" spans="1:7">
      <c r="A30" s="1" t="s">
        <v>216</v>
      </c>
      <c r="B30" s="1">
        <v>56</v>
      </c>
      <c r="C30" s="1"/>
      <c r="D30" s="1" t="s">
        <v>258</v>
      </c>
      <c r="E30" s="4">
        <v>30</v>
      </c>
      <c r="F30" s="5">
        <f t="shared" si="1"/>
        <v>1.68</v>
      </c>
      <c r="G30" s="3"/>
    </row>
    <row r="31" spans="1:7">
      <c r="A31" s="1"/>
      <c r="B31" s="1">
        <v>56</v>
      </c>
      <c r="C31" s="1"/>
      <c r="D31" s="1" t="s">
        <v>259</v>
      </c>
      <c r="E31" s="4">
        <v>30</v>
      </c>
      <c r="F31" s="5">
        <f t="shared" si="1"/>
        <v>1.68</v>
      </c>
      <c r="G31" s="3"/>
    </row>
    <row r="32" spans="1:7">
      <c r="A32" s="1"/>
      <c r="B32" s="1">
        <v>56</v>
      </c>
      <c r="C32" s="1"/>
      <c r="D32" s="1" t="s">
        <v>260</v>
      </c>
      <c r="E32" s="4">
        <v>20</v>
      </c>
      <c r="F32" s="5">
        <f t="shared" si="1"/>
        <v>1.1200000000000001</v>
      </c>
      <c r="G32" s="3"/>
    </row>
    <row r="33" spans="1:7">
      <c r="A33" s="1"/>
      <c r="B33" s="1">
        <v>56</v>
      </c>
      <c r="C33" s="1"/>
      <c r="D33" s="1" t="s">
        <v>183</v>
      </c>
      <c r="E33" s="4">
        <v>30</v>
      </c>
      <c r="F33" s="5">
        <f t="shared" si="1"/>
        <v>1.68</v>
      </c>
      <c r="G33" s="3"/>
    </row>
    <row r="34" spans="1:7">
      <c r="A34" s="1"/>
      <c r="B34" s="1">
        <v>56</v>
      </c>
      <c r="C34" s="1" t="s">
        <v>261</v>
      </c>
      <c r="D34" s="1" t="s">
        <v>262</v>
      </c>
      <c r="E34" s="4">
        <v>40</v>
      </c>
      <c r="F34" s="5">
        <f t="shared" si="1"/>
        <v>2.2400000000000002</v>
      </c>
      <c r="G34" s="3"/>
    </row>
    <row r="35" spans="1:7">
      <c r="A35" s="1"/>
      <c r="B35" s="1">
        <v>56</v>
      </c>
      <c r="C35" s="1"/>
      <c r="D35" s="1" t="s">
        <v>263</v>
      </c>
      <c r="E35" s="4">
        <v>100</v>
      </c>
      <c r="F35" s="5">
        <f t="shared" si="1"/>
        <v>5.6</v>
      </c>
      <c r="G35" s="3"/>
    </row>
    <row r="36" spans="1:7">
      <c r="A36" s="1"/>
      <c r="B36" s="1">
        <v>56</v>
      </c>
      <c r="C36" s="1"/>
      <c r="D36" s="1" t="s">
        <v>143</v>
      </c>
      <c r="E36" s="4">
        <v>20</v>
      </c>
      <c r="F36" s="5">
        <f t="shared" si="1"/>
        <v>1.1200000000000001</v>
      </c>
      <c r="G36" s="3"/>
    </row>
    <row r="37" spans="1:7">
      <c r="A37" s="1"/>
      <c r="B37" s="1">
        <v>56</v>
      </c>
      <c r="C37" s="1"/>
      <c r="D37" s="1" t="s">
        <v>150</v>
      </c>
      <c r="E37" s="4">
        <v>10</v>
      </c>
      <c r="F37" s="5">
        <f t="shared" si="1"/>
        <v>0.56000000000000005</v>
      </c>
      <c r="G37" s="3"/>
    </row>
    <row r="38" spans="1:7">
      <c r="A38" s="1"/>
      <c r="B38" s="1">
        <v>56</v>
      </c>
      <c r="C38" s="1"/>
      <c r="D38" s="1" t="s">
        <v>264</v>
      </c>
      <c r="E38" s="4">
        <v>2</v>
      </c>
      <c r="F38" s="5">
        <f t="shared" si="1"/>
        <v>0.112</v>
      </c>
      <c r="G38" s="3"/>
    </row>
    <row r="39" spans="1:7">
      <c r="A39" s="1"/>
      <c r="B39" s="1">
        <v>56</v>
      </c>
      <c r="C39" s="1" t="s">
        <v>265</v>
      </c>
      <c r="D39" s="1" t="s">
        <v>226</v>
      </c>
      <c r="E39" s="4">
        <v>80</v>
      </c>
      <c r="F39" s="5">
        <f t="shared" si="1"/>
        <v>4.4800000000000004</v>
      </c>
      <c r="G39" s="3"/>
    </row>
    <row r="40" spans="1:7">
      <c r="A40" s="1"/>
      <c r="B40" s="1">
        <v>56</v>
      </c>
      <c r="C40" s="1" t="s">
        <v>228</v>
      </c>
      <c r="D40" s="1" t="s">
        <v>228</v>
      </c>
      <c r="E40" s="4">
        <v>40</v>
      </c>
      <c r="F40" s="5">
        <f t="shared" si="1"/>
        <v>2.2400000000000002</v>
      </c>
      <c r="G40" s="3"/>
    </row>
    <row r="41" spans="1:7">
      <c r="A41" s="1"/>
      <c r="B41" s="1"/>
      <c r="C41" s="1"/>
      <c r="D41" s="1"/>
      <c r="E41" s="4"/>
      <c r="F41" s="15"/>
      <c r="G41" s="3"/>
    </row>
    <row r="42" spans="1:7">
      <c r="A42" s="11"/>
      <c r="B42" s="1"/>
      <c r="C42" s="11"/>
      <c r="D42" s="11"/>
      <c r="E42" s="12"/>
      <c r="F42" s="13"/>
      <c r="G42" s="1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43"/>
  <sheetViews>
    <sheetView workbookViewId="0">
      <selection activeCell="H42" sqref="H42"/>
    </sheetView>
  </sheetViews>
  <sheetFormatPr defaultRowHeight="16.5"/>
  <cols>
    <col min="1" max="1" width="5.75" customWidth="1"/>
    <col min="2" max="2" width="6" customWidth="1"/>
    <col min="3" max="3" width="15.75" customWidth="1"/>
    <col min="4" max="4" width="13.75" customWidth="1"/>
    <col min="6" max="6" width="9" customWidth="1"/>
    <col min="7" max="7" width="18" customWidth="1"/>
    <col min="8" max="8" width="9" customWidth="1"/>
  </cols>
  <sheetData>
    <row r="1" spans="1:8" ht="26.25" customHeight="1">
      <c r="A1" s="17" t="s">
        <v>230</v>
      </c>
      <c r="B1" s="17"/>
      <c r="C1" s="17"/>
      <c r="D1" s="17"/>
      <c r="E1" s="17"/>
      <c r="F1" s="17"/>
      <c r="G1" s="17"/>
      <c r="H1" s="17"/>
    </row>
    <row r="2" spans="1:8">
      <c r="A2" s="1" t="s">
        <v>0</v>
      </c>
      <c r="B2" s="1" t="s">
        <v>12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8">
      <c r="A3" s="2">
        <v>42022</v>
      </c>
      <c r="B3" s="1">
        <v>55</v>
      </c>
      <c r="C3" s="1" t="s">
        <v>58</v>
      </c>
      <c r="D3" s="1" t="s">
        <v>59</v>
      </c>
      <c r="E3" s="4">
        <v>2</v>
      </c>
      <c r="F3" s="5">
        <f>(B3*E3)/1000</f>
        <v>0.11</v>
      </c>
      <c r="G3" s="3"/>
    </row>
    <row r="4" spans="1:8">
      <c r="A4" s="1" t="s">
        <v>241</v>
      </c>
      <c r="B4" s="1">
        <v>55</v>
      </c>
      <c r="C4" s="1" t="s">
        <v>266</v>
      </c>
      <c r="D4" s="1" t="s">
        <v>267</v>
      </c>
      <c r="E4" s="4">
        <v>15</v>
      </c>
      <c r="F4" s="5">
        <f t="shared" ref="F4:F17" si="0">(B4*E4)/1000</f>
        <v>0.82499999999999996</v>
      </c>
      <c r="G4" s="3"/>
    </row>
    <row r="5" spans="1:8">
      <c r="A5" s="1" t="s">
        <v>21</v>
      </c>
      <c r="B5" s="1">
        <v>55</v>
      </c>
      <c r="C5" s="1"/>
      <c r="D5" s="1" t="s">
        <v>239</v>
      </c>
      <c r="E5" s="4">
        <v>30</v>
      </c>
      <c r="F5" s="5">
        <f t="shared" si="0"/>
        <v>1.65</v>
      </c>
      <c r="G5" s="3"/>
    </row>
    <row r="6" spans="1:8">
      <c r="A6" s="1"/>
      <c r="B6" s="1">
        <v>55</v>
      </c>
      <c r="C6" s="1"/>
      <c r="D6" s="1" t="s">
        <v>16</v>
      </c>
      <c r="E6" s="4">
        <v>20</v>
      </c>
      <c r="F6" s="5">
        <f t="shared" si="0"/>
        <v>1.1000000000000001</v>
      </c>
      <c r="G6" s="3"/>
    </row>
    <row r="7" spans="1:8">
      <c r="A7" s="1"/>
      <c r="B7" s="1">
        <v>55</v>
      </c>
      <c r="C7" s="1"/>
      <c r="D7" s="1" t="s">
        <v>268</v>
      </c>
      <c r="E7" s="4">
        <v>10</v>
      </c>
      <c r="F7" s="5">
        <f t="shared" si="0"/>
        <v>0.55000000000000004</v>
      </c>
      <c r="G7" s="3"/>
    </row>
    <row r="8" spans="1:8">
      <c r="A8" s="1"/>
      <c r="B8" s="1">
        <v>55</v>
      </c>
      <c r="C8" s="1"/>
      <c r="D8" s="1" t="s">
        <v>13</v>
      </c>
      <c r="E8" s="4">
        <v>5</v>
      </c>
      <c r="F8" s="5">
        <f t="shared" si="0"/>
        <v>0.27500000000000002</v>
      </c>
      <c r="G8" s="3"/>
    </row>
    <row r="9" spans="1:8">
      <c r="A9" s="1"/>
      <c r="B9" s="1">
        <v>55</v>
      </c>
      <c r="C9" s="1"/>
      <c r="D9" s="1" t="s">
        <v>27</v>
      </c>
      <c r="E9" s="4">
        <v>2</v>
      </c>
      <c r="F9" s="5">
        <f t="shared" si="0"/>
        <v>0.11</v>
      </c>
      <c r="G9" s="3"/>
    </row>
    <row r="10" spans="1:8">
      <c r="A10" s="1"/>
      <c r="B10" s="1">
        <v>55</v>
      </c>
      <c r="C10" s="1" t="s">
        <v>269</v>
      </c>
      <c r="D10" s="1" t="s">
        <v>270</v>
      </c>
      <c r="E10" s="4">
        <v>20</v>
      </c>
      <c r="F10" s="5">
        <f t="shared" si="0"/>
        <v>1.1000000000000001</v>
      </c>
      <c r="G10" s="3"/>
    </row>
    <row r="11" spans="1:8">
      <c r="A11" s="1"/>
      <c r="B11" s="1">
        <v>55</v>
      </c>
      <c r="C11" s="1"/>
      <c r="D11" s="1" t="s">
        <v>112</v>
      </c>
      <c r="E11" s="4">
        <v>20</v>
      </c>
      <c r="F11" s="5">
        <f t="shared" si="0"/>
        <v>1.1000000000000001</v>
      </c>
      <c r="G11" s="3"/>
    </row>
    <row r="12" spans="1:8">
      <c r="A12" s="1"/>
      <c r="B12" s="1">
        <v>55</v>
      </c>
      <c r="C12" s="1"/>
      <c r="D12" s="1" t="s">
        <v>30</v>
      </c>
      <c r="E12" s="4">
        <v>20</v>
      </c>
      <c r="F12" s="5">
        <f t="shared" si="0"/>
        <v>1.1000000000000001</v>
      </c>
      <c r="G12" s="3"/>
    </row>
    <row r="13" spans="1:8">
      <c r="A13" s="1"/>
      <c r="B13" s="1">
        <v>55</v>
      </c>
      <c r="C13" s="1"/>
      <c r="D13" s="1" t="s">
        <v>31</v>
      </c>
      <c r="E13" s="4">
        <v>20</v>
      </c>
      <c r="F13" s="5">
        <f t="shared" si="0"/>
        <v>1.1000000000000001</v>
      </c>
      <c r="G13" s="3"/>
    </row>
    <row r="14" spans="1:8">
      <c r="A14" s="1"/>
      <c r="B14" s="1">
        <v>55</v>
      </c>
      <c r="C14" s="1"/>
      <c r="D14" s="1" t="s">
        <v>17</v>
      </c>
      <c r="E14" s="4">
        <v>20</v>
      </c>
      <c r="F14" s="5">
        <f t="shared" si="0"/>
        <v>1.1000000000000001</v>
      </c>
      <c r="G14" s="3"/>
    </row>
    <row r="15" spans="1:8">
      <c r="A15" s="1"/>
      <c r="B15" s="1">
        <v>55</v>
      </c>
      <c r="C15" s="1"/>
      <c r="D15" s="1" t="s">
        <v>37</v>
      </c>
      <c r="E15" s="4">
        <v>20</v>
      </c>
      <c r="F15" s="5">
        <f t="shared" si="0"/>
        <v>1.1000000000000001</v>
      </c>
      <c r="G15" s="3"/>
    </row>
    <row r="16" spans="1:8">
      <c r="A16" s="1"/>
      <c r="B16" s="1">
        <v>55</v>
      </c>
      <c r="C16" s="1" t="s">
        <v>271</v>
      </c>
      <c r="D16" s="1" t="s">
        <v>272</v>
      </c>
      <c r="E16" s="4">
        <v>50</v>
      </c>
      <c r="F16" s="5">
        <f t="shared" si="0"/>
        <v>2.75</v>
      </c>
      <c r="G16" s="3"/>
    </row>
    <row r="17" spans="1:7">
      <c r="A17" s="1"/>
      <c r="B17" s="1">
        <v>55</v>
      </c>
      <c r="C17" s="1" t="s">
        <v>19</v>
      </c>
      <c r="D17" s="1" t="s">
        <v>19</v>
      </c>
      <c r="E17" s="4">
        <v>40</v>
      </c>
      <c r="F17" s="5">
        <f t="shared" si="0"/>
        <v>2.2000000000000002</v>
      </c>
      <c r="G17" s="3"/>
    </row>
    <row r="18" spans="1:7">
      <c r="A18" s="6"/>
      <c r="B18" s="6"/>
      <c r="C18" s="6"/>
      <c r="D18" s="6"/>
      <c r="E18" s="7"/>
      <c r="F18" s="8"/>
      <c r="G18" s="9"/>
    </row>
    <row r="19" spans="1:7">
      <c r="A19" s="2"/>
      <c r="B19" s="1"/>
      <c r="C19" s="1"/>
      <c r="D19" s="1"/>
      <c r="E19" s="4"/>
      <c r="F19" s="5"/>
      <c r="G19" s="3"/>
    </row>
    <row r="20" spans="1:7">
      <c r="A20" s="1"/>
      <c r="B20" s="1"/>
      <c r="C20" s="1"/>
      <c r="D20" s="1"/>
      <c r="E20" s="4"/>
      <c r="F20" s="5"/>
      <c r="G20" s="3"/>
    </row>
    <row r="21" spans="1:7">
      <c r="A21" s="1"/>
      <c r="B21" s="1"/>
      <c r="C21" s="1"/>
      <c r="D21" s="1"/>
      <c r="E21" s="4"/>
      <c r="F21" s="5"/>
      <c r="G21" s="3"/>
    </row>
    <row r="22" spans="1:7">
      <c r="A22" s="1"/>
      <c r="B22" s="1"/>
      <c r="C22" s="1"/>
      <c r="D22" s="1"/>
      <c r="E22" s="4"/>
      <c r="F22" s="5"/>
      <c r="G22" s="3"/>
    </row>
    <row r="23" spans="1:7">
      <c r="A23" s="1"/>
      <c r="B23" s="1"/>
      <c r="C23" s="1"/>
      <c r="D23" s="1"/>
      <c r="E23" s="4"/>
      <c r="F23" s="5"/>
      <c r="G23" s="3"/>
    </row>
    <row r="24" spans="1:7">
      <c r="A24" s="1"/>
      <c r="B24" s="1"/>
      <c r="C24" s="1"/>
      <c r="D24" s="1"/>
      <c r="E24" s="4"/>
      <c r="F24" s="5"/>
      <c r="G24" s="3"/>
    </row>
    <row r="25" spans="1:7">
      <c r="A25" s="1"/>
      <c r="B25" s="1"/>
      <c r="C25" s="1"/>
      <c r="D25" s="1"/>
      <c r="E25" s="4"/>
      <c r="F25" s="5"/>
      <c r="G25" s="3"/>
    </row>
    <row r="26" spans="1:7">
      <c r="A26" s="1"/>
      <c r="B26" s="1"/>
      <c r="C26" s="1"/>
      <c r="D26" s="1"/>
      <c r="E26" s="4"/>
      <c r="F26" s="5"/>
      <c r="G26" s="3"/>
    </row>
    <row r="27" spans="1:7">
      <c r="A27" s="1"/>
      <c r="B27" s="1"/>
      <c r="C27" s="1"/>
      <c r="D27" s="1"/>
      <c r="E27" s="4"/>
      <c r="F27" s="15"/>
      <c r="G27" s="3"/>
    </row>
    <row r="28" spans="1:7">
      <c r="A28" s="1"/>
      <c r="B28" s="1"/>
      <c r="C28" s="1"/>
      <c r="D28" s="1"/>
      <c r="E28" s="4"/>
      <c r="F28" s="5"/>
      <c r="G28" s="3"/>
    </row>
    <row r="29" spans="1:7">
      <c r="A29" s="1"/>
      <c r="B29" s="1"/>
      <c r="C29" s="1"/>
      <c r="D29" s="1"/>
      <c r="E29" s="4"/>
      <c r="F29" s="15"/>
      <c r="G29" s="3"/>
    </row>
    <row r="30" spans="1:7">
      <c r="A30" s="1"/>
      <c r="B30" s="1"/>
      <c r="C30" s="1"/>
      <c r="D30" s="1"/>
      <c r="E30" s="4"/>
      <c r="F30" s="5"/>
      <c r="G30" s="3"/>
    </row>
    <row r="31" spans="1:7">
      <c r="A31" s="6"/>
      <c r="B31" s="6"/>
      <c r="C31" s="6"/>
      <c r="D31" s="6"/>
      <c r="E31" s="7"/>
      <c r="F31" s="8"/>
      <c r="G31" s="9"/>
    </row>
    <row r="32" spans="1:7">
      <c r="A32" s="2"/>
      <c r="B32" s="1"/>
      <c r="C32" s="1"/>
      <c r="D32" s="1"/>
      <c r="E32" s="4"/>
      <c r="F32" s="5"/>
      <c r="G32" s="3"/>
    </row>
    <row r="33" spans="1:7">
      <c r="A33" s="1"/>
      <c r="B33" s="1"/>
      <c r="C33" s="1"/>
      <c r="D33" s="1"/>
      <c r="E33" s="4"/>
      <c r="F33" s="5"/>
      <c r="G33" s="3"/>
    </row>
    <row r="34" spans="1:7">
      <c r="A34" s="1"/>
      <c r="B34" s="1"/>
      <c r="C34" s="1"/>
      <c r="D34" s="1"/>
      <c r="E34" s="4"/>
      <c r="F34" s="5"/>
      <c r="G34" s="3"/>
    </row>
    <row r="35" spans="1:7">
      <c r="A35" s="1"/>
      <c r="B35" s="1"/>
      <c r="C35" s="1"/>
      <c r="D35" s="1"/>
      <c r="E35" s="4"/>
      <c r="F35" s="5"/>
      <c r="G35" s="3"/>
    </row>
    <row r="36" spans="1:7">
      <c r="A36" s="1"/>
      <c r="B36" s="1"/>
      <c r="C36" s="1"/>
      <c r="D36" s="1"/>
      <c r="E36" s="4"/>
      <c r="F36" s="5"/>
      <c r="G36" s="3"/>
    </row>
    <row r="37" spans="1:7">
      <c r="A37" s="1"/>
      <c r="B37" s="1"/>
      <c r="C37" s="1"/>
      <c r="D37" s="1"/>
      <c r="E37" s="4"/>
      <c r="F37" s="5"/>
      <c r="G37" s="3"/>
    </row>
    <row r="38" spans="1:7">
      <c r="A38" s="1"/>
      <c r="B38" s="1"/>
      <c r="C38" s="1"/>
      <c r="D38" s="1"/>
      <c r="E38" s="4"/>
      <c r="F38" s="5"/>
      <c r="G38" s="3"/>
    </row>
    <row r="39" spans="1:7">
      <c r="A39" s="1"/>
      <c r="B39" s="1"/>
      <c r="C39" s="1"/>
      <c r="D39" s="1"/>
      <c r="E39" s="4"/>
      <c r="F39" s="5"/>
      <c r="G39" s="3"/>
    </row>
    <row r="40" spans="1:7">
      <c r="A40" s="1"/>
      <c r="B40" s="1"/>
      <c r="C40" s="1"/>
      <c r="D40" s="1"/>
      <c r="E40" s="4"/>
      <c r="F40" s="5"/>
      <c r="G40" s="3"/>
    </row>
    <row r="41" spans="1:7">
      <c r="A41" s="1"/>
      <c r="B41" s="1"/>
      <c r="C41" s="1"/>
      <c r="D41" s="1"/>
      <c r="E41" s="4"/>
      <c r="F41" s="5"/>
      <c r="G41" s="3"/>
    </row>
    <row r="42" spans="1:7">
      <c r="A42" s="1"/>
      <c r="B42" s="1"/>
      <c r="C42" s="1"/>
      <c r="D42" s="1"/>
      <c r="E42" s="4"/>
      <c r="F42" s="5"/>
      <c r="G42" s="3"/>
    </row>
    <row r="43" spans="1:7">
      <c r="A43" s="1"/>
      <c r="B43" s="1"/>
      <c r="C43" s="1"/>
      <c r="D43" s="1"/>
      <c r="E43" s="4"/>
      <c r="F43" s="5"/>
      <c r="G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 (2)</vt:lpstr>
      <vt:lpstr>화</vt:lpstr>
      <vt:lpstr>수</vt:lpstr>
      <vt:lpstr>목</vt:lpstr>
      <vt:lpstr>금</vt:lpstr>
      <vt:lpstr>토</vt:lpstr>
      <vt:lpstr>토 (2)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2015-01-06T01:31:56Z</cp:lastPrinted>
  <dcterms:created xsi:type="dcterms:W3CDTF">2014-08-12T13:11:58Z</dcterms:created>
  <dcterms:modified xsi:type="dcterms:W3CDTF">2015-01-06T01:33:21Z</dcterms:modified>
</cp:coreProperties>
</file>