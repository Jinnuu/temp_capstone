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6" i="4"/>
  <c r="F16"/>
  <c r="F34" i="6"/>
  <c r="F33"/>
  <c r="F32"/>
  <c r="F31"/>
  <c r="F30"/>
  <c r="F29"/>
  <c r="F28"/>
  <c r="F27"/>
  <c r="F25"/>
  <c r="F24"/>
  <c r="F23"/>
  <c r="F22"/>
  <c r="F21"/>
  <c r="F20"/>
  <c r="F19"/>
  <c r="F18"/>
  <c r="F17"/>
  <c r="F14"/>
  <c r="F13"/>
  <c r="F12"/>
  <c r="F11"/>
  <c r="F10"/>
  <c r="F9"/>
  <c r="F8"/>
  <c r="F7"/>
  <c r="F6"/>
  <c r="F5"/>
  <c r="F4"/>
  <c r="F3"/>
  <c r="F16" i="5"/>
  <c r="F35"/>
  <c r="F34"/>
  <c r="F33"/>
  <c r="F32"/>
  <c r="F31"/>
  <c r="F30"/>
  <c r="F29"/>
  <c r="F28"/>
  <c r="F27"/>
  <c r="F25"/>
  <c r="F24"/>
  <c r="F23"/>
  <c r="F22"/>
  <c r="F21"/>
  <c r="F20"/>
  <c r="F19"/>
  <c r="F18"/>
  <c r="F15"/>
  <c r="F14"/>
  <c r="F13"/>
  <c r="F12"/>
  <c r="F11"/>
  <c r="F10"/>
  <c r="F9"/>
  <c r="F8"/>
  <c r="F7"/>
  <c r="F6"/>
  <c r="F5"/>
  <c r="F4"/>
  <c r="F3"/>
  <c r="F36" i="4"/>
  <c r="F35"/>
  <c r="F34"/>
  <c r="F33"/>
  <c r="F30"/>
  <c r="F31"/>
  <c r="F32"/>
  <c r="F29"/>
  <c r="F15"/>
  <c r="F14"/>
  <c r="F5"/>
  <c r="F27"/>
  <c r="F26"/>
  <c r="F25"/>
  <c r="F24"/>
  <c r="F23"/>
  <c r="F22"/>
  <c r="F21"/>
  <c r="F20"/>
  <c r="F19"/>
  <c r="F18"/>
  <c r="F13"/>
  <c r="F12"/>
  <c r="F11"/>
  <c r="F10"/>
  <c r="F9"/>
  <c r="F8"/>
  <c r="F7"/>
  <c r="F4"/>
  <c r="F3"/>
  <c r="F24" i="1"/>
  <c r="F14"/>
  <c r="F15"/>
  <c r="F16"/>
  <c r="F17"/>
  <c r="F18"/>
  <c r="F19"/>
  <c r="F20"/>
  <c r="F21"/>
  <c r="F22"/>
  <c r="F23"/>
  <c r="F13"/>
  <c r="F11"/>
  <c r="F10"/>
  <c r="F9"/>
  <c r="F4"/>
  <c r="F5"/>
  <c r="F6"/>
  <c r="F7"/>
  <c r="F3"/>
</calcChain>
</file>

<file path=xl/sharedStrings.xml><?xml version="1.0" encoding="utf-8"?>
<sst xmlns="http://schemas.openxmlformats.org/spreadsheetml/2006/main" count="235" uniqueCount="151">
  <si>
    <t>날짜</t>
    <phoneticPr fontId="1" type="noConversion"/>
  </si>
  <si>
    <t>월</t>
    <phoneticPr fontId="1" type="noConversion"/>
  </si>
  <si>
    <t>조식</t>
    <phoneticPr fontId="1" type="noConversion"/>
  </si>
  <si>
    <t>예상식수</t>
    <phoneticPr fontId="1" type="noConversion"/>
  </si>
  <si>
    <t>메뉴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</si>
  <si>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</si>
  <si>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</si>
  <si>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</si>
  <si>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</si>
  <si>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순두부찌개</t>
    <phoneticPr fontId="1" type="noConversion"/>
  </si>
  <si>
    <t>순두부</t>
    <phoneticPr fontId="1" type="noConversion"/>
  </si>
  <si>
    <t>댤걀</t>
    <phoneticPr fontId="1" type="noConversion"/>
  </si>
  <si>
    <t>팽이버섯</t>
    <phoneticPr fontId="1" type="noConversion"/>
  </si>
  <si>
    <t>호박</t>
    <phoneticPr fontId="1" type="noConversion"/>
  </si>
  <si>
    <t>고추기름</t>
    <phoneticPr fontId="1" type="noConversion"/>
  </si>
  <si>
    <t>조기구이</t>
    <phoneticPr fontId="1" type="noConversion"/>
  </si>
  <si>
    <t>조기</t>
    <phoneticPr fontId="1" type="noConversion"/>
  </si>
  <si>
    <t>달걀</t>
    <phoneticPr fontId="1" type="noConversion"/>
  </si>
  <si>
    <t>2판</t>
    <phoneticPr fontId="1" type="noConversion"/>
  </si>
  <si>
    <t>배추김치</t>
    <phoneticPr fontId="1" type="noConversion"/>
  </si>
  <si>
    <t>양파</t>
    <phoneticPr fontId="1" type="noConversion"/>
  </si>
  <si>
    <t>대파적당량</t>
    <phoneticPr fontId="1" type="noConversion"/>
  </si>
  <si>
    <t>중식</t>
    <phoneticPr fontId="1" type="noConversion"/>
  </si>
  <si>
    <t>수수밥</t>
    <phoneticPr fontId="1" type="noConversion"/>
  </si>
  <si>
    <t>수수</t>
    <phoneticPr fontId="1" type="noConversion"/>
  </si>
  <si>
    <t>유부된장국</t>
    <phoneticPr fontId="1" type="noConversion"/>
  </si>
  <si>
    <t>유부</t>
    <phoneticPr fontId="1" type="noConversion"/>
  </si>
  <si>
    <t>무</t>
    <phoneticPr fontId="1" type="noConversion"/>
  </si>
  <si>
    <t>코다리강정</t>
    <phoneticPr fontId="1" type="noConversion"/>
  </si>
  <si>
    <t>튀김가루</t>
    <phoneticPr fontId="1" type="noConversion"/>
  </si>
  <si>
    <t>치킨소스</t>
    <phoneticPr fontId="1" type="noConversion"/>
  </si>
  <si>
    <t>땅콩</t>
    <phoneticPr fontId="1" type="noConversion"/>
  </si>
  <si>
    <t>식용유</t>
    <phoneticPr fontId="1" type="noConversion"/>
  </si>
  <si>
    <t>올방개묵김무침</t>
    <phoneticPr fontId="1" type="noConversion"/>
  </si>
  <si>
    <t>올방개묵</t>
    <phoneticPr fontId="1" type="noConversion"/>
  </si>
  <si>
    <t>김가루</t>
    <phoneticPr fontId="1" type="noConversion"/>
  </si>
  <si>
    <t>건포도</t>
    <phoneticPr fontId="1" type="noConversion"/>
  </si>
  <si>
    <t>석식</t>
    <phoneticPr fontId="1" type="noConversion"/>
  </si>
  <si>
    <t>차조밥</t>
    <phoneticPr fontId="1" type="noConversion"/>
  </si>
  <si>
    <t>차조</t>
    <phoneticPr fontId="1" type="noConversion"/>
  </si>
  <si>
    <t>아욱</t>
    <phoneticPr fontId="1" type="noConversion"/>
  </si>
  <si>
    <t>닭갈비</t>
    <phoneticPr fontId="1" type="noConversion"/>
  </si>
  <si>
    <t>닭가슴살</t>
    <phoneticPr fontId="1" type="noConversion"/>
  </si>
  <si>
    <t>닭다리살</t>
    <phoneticPr fontId="1" type="noConversion"/>
  </si>
  <si>
    <t>양배추</t>
    <phoneticPr fontId="1" type="noConversion"/>
  </si>
  <si>
    <t>고구마</t>
    <phoneticPr fontId="1" type="noConversion"/>
  </si>
  <si>
    <t>떡볶이떡</t>
    <phoneticPr fontId="1" type="noConversion"/>
  </si>
  <si>
    <t>단호박샐러드</t>
    <phoneticPr fontId="1" type="noConversion"/>
  </si>
  <si>
    <t>단호박</t>
    <phoneticPr fontId="1" type="noConversion"/>
  </si>
  <si>
    <t>마요네즈</t>
    <phoneticPr fontId="1" type="noConversion"/>
  </si>
  <si>
    <t>근대된장국</t>
    <phoneticPr fontId="1" type="noConversion"/>
  </si>
  <si>
    <t>근대</t>
    <phoneticPr fontId="1" type="noConversion"/>
  </si>
  <si>
    <t>버섯우불고기</t>
    <phoneticPr fontId="1" type="noConversion"/>
  </si>
  <si>
    <t>우불고기</t>
    <phoneticPr fontId="1" type="noConversion"/>
  </si>
  <si>
    <t>느타리버섯</t>
    <phoneticPr fontId="1" type="noConversion"/>
  </si>
  <si>
    <t>당근</t>
    <phoneticPr fontId="1" type="noConversion"/>
  </si>
  <si>
    <t>감자볶음</t>
    <phoneticPr fontId="1" type="noConversion"/>
  </si>
  <si>
    <t>감자</t>
    <phoneticPr fontId="1" type="noConversion"/>
  </si>
  <si>
    <t>화</t>
    <phoneticPr fontId="1" type="noConversion"/>
  </si>
  <si>
    <t>새우젓</t>
    <phoneticPr fontId="1" type="noConversion"/>
  </si>
  <si>
    <t>당근,양파적당량</t>
    <phoneticPr fontId="1" type="noConversion"/>
  </si>
  <si>
    <t>서리태밥</t>
    <phoneticPr fontId="1" type="noConversion"/>
  </si>
  <si>
    <t>서리태</t>
    <phoneticPr fontId="1" type="noConversion"/>
  </si>
  <si>
    <t>물만두국</t>
    <phoneticPr fontId="1" type="noConversion"/>
  </si>
  <si>
    <t>만두</t>
    <phoneticPr fontId="1" type="noConversion"/>
  </si>
  <si>
    <t>대퍼적당량</t>
    <phoneticPr fontId="1" type="noConversion"/>
  </si>
  <si>
    <t>제육볶음</t>
    <phoneticPr fontId="1" type="noConversion"/>
  </si>
  <si>
    <t>돈후지</t>
    <phoneticPr fontId="1" type="noConversion"/>
  </si>
  <si>
    <t>맛김치</t>
    <phoneticPr fontId="1" type="noConversion"/>
  </si>
  <si>
    <t>당근,대파적당량</t>
    <phoneticPr fontId="1" type="noConversion"/>
  </si>
  <si>
    <t>양배추쌈/쌈장</t>
    <phoneticPr fontId="1" type="noConversion"/>
  </si>
  <si>
    <t>대파적당량</t>
    <phoneticPr fontId="1" type="noConversion"/>
  </si>
  <si>
    <t>조식</t>
    <phoneticPr fontId="1" type="noConversion"/>
  </si>
  <si>
    <t>카레덮밥</t>
    <phoneticPr fontId="1" type="noConversion"/>
  </si>
  <si>
    <t>카레가루</t>
    <phoneticPr fontId="1" type="noConversion"/>
  </si>
  <si>
    <t>돈육후지</t>
    <phoneticPr fontId="1" type="noConversion"/>
  </si>
  <si>
    <t>감자</t>
    <phoneticPr fontId="1" type="noConversion"/>
  </si>
  <si>
    <t>우동맛국</t>
    <phoneticPr fontId="1" type="noConversion"/>
  </si>
  <si>
    <t>우동소스</t>
    <phoneticPr fontId="1" type="noConversion"/>
  </si>
  <si>
    <t>우동건더기스프</t>
    <phoneticPr fontId="1" type="noConversion"/>
  </si>
  <si>
    <t>오징어야채무침</t>
    <phoneticPr fontId="1" type="noConversion"/>
  </si>
  <si>
    <t>오징어</t>
    <phoneticPr fontId="1" type="noConversion"/>
  </si>
  <si>
    <t>홍고추,대파적당량</t>
    <phoneticPr fontId="1" type="noConversion"/>
  </si>
  <si>
    <t>수</t>
    <phoneticPr fontId="1" type="noConversion"/>
  </si>
  <si>
    <t>북어해장국</t>
    <phoneticPr fontId="1" type="noConversion"/>
  </si>
  <si>
    <t>북어채</t>
    <phoneticPr fontId="1" type="noConversion"/>
  </si>
  <si>
    <t>콩나물</t>
    <phoneticPr fontId="1" type="noConversion"/>
  </si>
  <si>
    <t>두부조림</t>
    <phoneticPr fontId="1" type="noConversion"/>
  </si>
  <si>
    <t>두부</t>
    <phoneticPr fontId="1" type="noConversion"/>
  </si>
  <si>
    <t>미역줄기볶음</t>
    <phoneticPr fontId="1" type="noConversion"/>
  </si>
  <si>
    <t>미역줄기</t>
    <phoneticPr fontId="1" type="noConversion"/>
  </si>
  <si>
    <t>콩나물밥</t>
    <phoneticPr fontId="1" type="noConversion"/>
  </si>
  <si>
    <t>우육채</t>
    <phoneticPr fontId="1" type="noConversion"/>
  </si>
  <si>
    <t>/양념부추간장</t>
    <phoneticPr fontId="1" type="noConversion"/>
  </si>
  <si>
    <t>부추</t>
    <phoneticPr fontId="1" type="noConversion"/>
  </si>
  <si>
    <t>미역</t>
    <phoneticPr fontId="1" type="noConversion"/>
  </si>
  <si>
    <t>고등어조림</t>
    <phoneticPr fontId="1" type="noConversion"/>
  </si>
  <si>
    <t>고등어</t>
    <phoneticPr fontId="1" type="noConversion"/>
  </si>
  <si>
    <t>열무나물무침</t>
    <phoneticPr fontId="1" type="noConversion"/>
  </si>
  <si>
    <t>열무</t>
    <phoneticPr fontId="1" type="noConversion"/>
  </si>
  <si>
    <t>양파적당량</t>
    <phoneticPr fontId="1" type="noConversion"/>
  </si>
  <si>
    <t>호박/양파 각</t>
    <phoneticPr fontId="1" type="noConversion"/>
  </si>
  <si>
    <t>무/양파 각</t>
    <phoneticPr fontId="1" type="noConversion"/>
  </si>
  <si>
    <t>깍두기</t>
    <phoneticPr fontId="1" type="noConversion"/>
  </si>
  <si>
    <t>깍두기</t>
    <phoneticPr fontId="1" type="noConversion"/>
  </si>
  <si>
    <t>보리밥</t>
    <phoneticPr fontId="1" type="noConversion"/>
  </si>
  <si>
    <t>보리</t>
    <phoneticPr fontId="1" type="noConversion"/>
  </si>
  <si>
    <t>육개장</t>
    <phoneticPr fontId="1" type="noConversion"/>
  </si>
  <si>
    <t>고사리</t>
    <phoneticPr fontId="1" type="noConversion"/>
  </si>
  <si>
    <t>돈육떡갈비찜</t>
    <phoneticPr fontId="1" type="noConversion"/>
  </si>
  <si>
    <t>돼지갈비</t>
    <phoneticPr fontId="1" type="noConversion"/>
  </si>
  <si>
    <t>당근</t>
    <phoneticPr fontId="1" type="noConversion"/>
  </si>
  <si>
    <t>돈육양념</t>
    <phoneticPr fontId="1" type="noConversion"/>
  </si>
  <si>
    <t>애호박</t>
    <phoneticPr fontId="1" type="noConversion"/>
  </si>
  <si>
    <t>홍고추적당량</t>
    <phoneticPr fontId="1" type="noConversion"/>
  </si>
  <si>
    <t>목</t>
    <phoneticPr fontId="1" type="noConversion"/>
  </si>
  <si>
    <t>적어조림</t>
    <phoneticPr fontId="1" type="noConversion"/>
  </si>
  <si>
    <t>적어</t>
    <phoneticPr fontId="1" type="noConversion"/>
  </si>
  <si>
    <t>마늘쫑야채볶음</t>
    <phoneticPr fontId="1" type="noConversion"/>
  </si>
  <si>
    <t>마늘쫑</t>
    <phoneticPr fontId="1" type="noConversion"/>
  </si>
  <si>
    <t>기장밥</t>
    <phoneticPr fontId="1" type="noConversion"/>
  </si>
  <si>
    <t>기장</t>
    <phoneticPr fontId="1" type="noConversion"/>
  </si>
  <si>
    <t>참치김치찌개</t>
    <phoneticPr fontId="1" type="noConversion"/>
  </si>
  <si>
    <t>참치캔</t>
    <phoneticPr fontId="1" type="noConversion"/>
  </si>
  <si>
    <t>안동찜닭</t>
    <phoneticPr fontId="1" type="noConversion"/>
  </si>
  <si>
    <t>계육토막</t>
    <phoneticPr fontId="1" type="noConversion"/>
  </si>
  <si>
    <t>당근/양파 각</t>
    <phoneticPr fontId="1" type="noConversion"/>
  </si>
  <si>
    <t>양파/당근 각</t>
    <phoneticPr fontId="1" type="noConversion"/>
  </si>
  <si>
    <t>시금치</t>
    <phoneticPr fontId="1" type="noConversion"/>
  </si>
  <si>
    <t>우둔국거리</t>
    <phoneticPr fontId="1" type="noConversion"/>
  </si>
  <si>
    <t>대파적당량</t>
    <phoneticPr fontId="1" type="noConversion"/>
  </si>
  <si>
    <t>당근적당량</t>
    <phoneticPr fontId="1" type="noConversion"/>
  </si>
  <si>
    <t>당면/감자 각</t>
    <phoneticPr fontId="1" type="noConversion"/>
  </si>
  <si>
    <t>동그랑땡전</t>
    <phoneticPr fontId="1" type="noConversion"/>
  </si>
  <si>
    <t>배추김치</t>
    <phoneticPr fontId="1" type="noConversion"/>
  </si>
  <si>
    <t>콩나물/무 각</t>
    <phoneticPr fontId="1" type="noConversion"/>
  </si>
  <si>
    <t>12/28(일)발주서</t>
    <phoneticPr fontId="1" type="noConversion"/>
  </si>
  <si>
    <t>12/29 (월) 발주서</t>
    <phoneticPr fontId="1" type="noConversion"/>
  </si>
  <si>
    <t>건새우아욱국</t>
    <phoneticPr fontId="1" type="noConversion"/>
  </si>
  <si>
    <t>건새우</t>
    <phoneticPr fontId="1" type="noConversion"/>
  </si>
  <si>
    <t>양배추</t>
    <phoneticPr fontId="1" type="noConversion"/>
  </si>
  <si>
    <t>12/30(화) 발주서</t>
    <phoneticPr fontId="1" type="noConversion"/>
  </si>
  <si>
    <t>적채/ 양파 각</t>
    <phoneticPr fontId="1" type="noConversion"/>
  </si>
  <si>
    <t>미나리</t>
    <phoneticPr fontId="1" type="noConversion"/>
  </si>
  <si>
    <t>미역국</t>
    <phoneticPr fontId="1" type="noConversion"/>
  </si>
  <si>
    <t>12/31(수) 발주서</t>
    <phoneticPr fontId="1" type="noConversion"/>
  </si>
  <si>
    <t>떡만두국</t>
    <phoneticPr fontId="1" type="noConversion"/>
  </si>
  <si>
    <t>떡국떡</t>
    <phoneticPr fontId="1" type="noConversion"/>
  </si>
  <si>
    <t>양지</t>
    <phoneticPr fontId="1" type="noConversion"/>
  </si>
  <si>
    <t>시금치된장무침</t>
    <phoneticPr fontId="1" type="noConversion"/>
  </si>
  <si>
    <t>애호박나물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</si>
</sst>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selection activeCell="B13" sqref="B13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7.625" customWidth="1"/>
    <col min="8" max="8" width="18.125" hidden="1" customWidth="1"/>
  </cols>
  <sheetData>
    <row r="1" spans="1:8" ht="25.5" customHeight="1">
      <c r="A1" s="12" t="s">
        <v>136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42002</v>
      </c>
      <c r="B3" s="1">
        <v>55</v>
      </c>
      <c r="C3" s="1" t="s">
        <v>9</v>
      </c>
      <c r="D3" s="1" t="s">
        <v>10</v>
      </c>
      <c r="E3" s="3">
        <v>60</v>
      </c>
      <c r="F3" s="4">
        <f>(B3*E3)/1000</f>
        <v>3.3</v>
      </c>
      <c r="G3" s="2"/>
    </row>
    <row r="4" spans="1:8">
      <c r="A4" s="1" t="s">
        <v>1</v>
      </c>
      <c r="B4" s="1">
        <v>55</v>
      </c>
      <c r="C4" s="1"/>
      <c r="D4" s="1" t="s">
        <v>11</v>
      </c>
      <c r="E4" s="3">
        <v>60</v>
      </c>
      <c r="F4" s="4">
        <f t="shared" ref="F4:F11" si="0">(B4*E4)/1000</f>
        <v>3.3</v>
      </c>
      <c r="G4" s="2"/>
    </row>
    <row r="5" spans="1:8">
      <c r="A5" s="1" t="s">
        <v>2</v>
      </c>
      <c r="B5" s="1">
        <v>55</v>
      </c>
      <c r="C5" s="1"/>
      <c r="D5" s="1" t="s">
        <v>12</v>
      </c>
      <c r="E5" s="3">
        <v>10</v>
      </c>
      <c r="F5" s="4">
        <f t="shared" si="0"/>
        <v>0.55000000000000004</v>
      </c>
      <c r="G5" s="2"/>
    </row>
    <row r="6" spans="1:8">
      <c r="A6" s="1"/>
      <c r="B6" s="1">
        <v>55</v>
      </c>
      <c r="C6" s="1"/>
      <c r="D6" s="1" t="s">
        <v>13</v>
      </c>
      <c r="E6" s="3">
        <v>10</v>
      </c>
      <c r="F6" s="4">
        <f t="shared" si="0"/>
        <v>0.55000000000000004</v>
      </c>
      <c r="G6" s="2"/>
    </row>
    <row r="7" spans="1:8">
      <c r="A7" s="1"/>
      <c r="B7" s="1">
        <v>55</v>
      </c>
      <c r="C7" s="1"/>
      <c r="D7" s="1" t="s">
        <v>14</v>
      </c>
      <c r="E7" s="3">
        <v>3</v>
      </c>
      <c r="F7" s="4">
        <f t="shared" si="0"/>
        <v>0.16500000000000001</v>
      </c>
      <c r="G7" s="2"/>
    </row>
    <row r="8" spans="1:8">
      <c r="A8" s="1"/>
      <c r="B8" s="1">
        <v>55</v>
      </c>
      <c r="C8" s="1" t="s">
        <v>15</v>
      </c>
      <c r="D8" s="1" t="s">
        <v>16</v>
      </c>
      <c r="E8" s="3">
        <v>100</v>
      </c>
      <c r="F8" s="4">
        <v>16</v>
      </c>
      <c r="G8" s="2"/>
    </row>
    <row r="9" spans="1:8">
      <c r="A9" s="1"/>
      <c r="B9" s="1">
        <v>55</v>
      </c>
      <c r="C9" s="1" t="s">
        <v>133</v>
      </c>
      <c r="D9" s="1" t="s">
        <v>133</v>
      </c>
      <c r="E9" s="3">
        <v>100</v>
      </c>
      <c r="F9" s="4">
        <f t="shared" si="0"/>
        <v>5.5</v>
      </c>
      <c r="G9" s="2"/>
    </row>
    <row r="10" spans="1:8">
      <c r="A10" s="1"/>
      <c r="B10" s="1">
        <v>55</v>
      </c>
      <c r="C10" s="1"/>
      <c r="D10" s="1" t="s">
        <v>17</v>
      </c>
      <c r="E10" s="3">
        <v>20</v>
      </c>
      <c r="F10" s="4">
        <f t="shared" si="0"/>
        <v>1.1000000000000001</v>
      </c>
      <c r="G10" s="2" t="s">
        <v>18</v>
      </c>
    </row>
    <row r="11" spans="1:8">
      <c r="A11" s="1"/>
      <c r="B11" s="1">
        <v>55</v>
      </c>
      <c r="C11" s="1" t="s">
        <v>19</v>
      </c>
      <c r="D11" s="1" t="s">
        <v>19</v>
      </c>
      <c r="E11" s="3">
        <v>40</v>
      </c>
      <c r="F11" s="4">
        <f t="shared" si="0"/>
        <v>2.2000000000000002</v>
      </c>
      <c r="G11" s="2"/>
    </row>
    <row r="12" spans="1:8">
      <c r="A12" s="8"/>
      <c r="B12" s="8"/>
      <c r="C12" s="8"/>
      <c r="D12" s="8"/>
      <c r="E12" s="6"/>
      <c r="F12" s="6"/>
      <c r="G12" s="6"/>
    </row>
    <row r="13" spans="1:8">
      <c r="A13" s="7">
        <v>42002</v>
      </c>
      <c r="B13" s="1">
        <v>55</v>
      </c>
      <c r="C13" s="1" t="s">
        <v>23</v>
      </c>
      <c r="D13" s="1" t="s">
        <v>24</v>
      </c>
      <c r="E13" s="3">
        <v>2</v>
      </c>
      <c r="F13" s="4">
        <f>(B13*E13)/1000</f>
        <v>0.11</v>
      </c>
      <c r="G13" s="2"/>
    </row>
    <row r="14" spans="1:8">
      <c r="A14" s="1" t="s">
        <v>1</v>
      </c>
      <c r="B14" s="1">
        <v>55</v>
      </c>
      <c r="C14" s="1" t="s">
        <v>25</v>
      </c>
      <c r="D14" s="1" t="s">
        <v>26</v>
      </c>
      <c r="E14" s="3">
        <v>15</v>
      </c>
      <c r="F14" s="4">
        <f t="shared" ref="F14:F24" si="1">(B14*E14)/1000</f>
        <v>0.82499999999999996</v>
      </c>
      <c r="G14" s="2"/>
    </row>
    <row r="15" spans="1:8">
      <c r="A15" s="1" t="s">
        <v>22</v>
      </c>
      <c r="B15" s="1">
        <v>55</v>
      </c>
      <c r="C15" s="1"/>
      <c r="D15" s="1" t="s">
        <v>27</v>
      </c>
      <c r="E15" s="3">
        <v>40</v>
      </c>
      <c r="F15" s="4">
        <f t="shared" si="1"/>
        <v>2.2000000000000002</v>
      </c>
      <c r="G15" s="2"/>
    </row>
    <row r="16" spans="1:8">
      <c r="A16" s="1"/>
      <c r="B16" s="1">
        <v>55</v>
      </c>
      <c r="C16" s="1"/>
      <c r="D16" s="1" t="s">
        <v>12</v>
      </c>
      <c r="E16" s="3">
        <v>20</v>
      </c>
      <c r="F16" s="4">
        <f t="shared" si="1"/>
        <v>1.1000000000000001</v>
      </c>
      <c r="G16" s="2" t="s">
        <v>21</v>
      </c>
    </row>
    <row r="17" spans="1:7">
      <c r="A17" s="1"/>
      <c r="B17" s="1">
        <v>55</v>
      </c>
      <c r="C17" s="1" t="s">
        <v>28</v>
      </c>
      <c r="D17" s="1" t="s">
        <v>28</v>
      </c>
      <c r="E17" s="3">
        <v>120</v>
      </c>
      <c r="F17" s="4">
        <f t="shared" si="1"/>
        <v>6.6</v>
      </c>
      <c r="G17" s="2"/>
    </row>
    <row r="18" spans="1:7">
      <c r="A18" s="1"/>
      <c r="B18" s="1">
        <v>55</v>
      </c>
      <c r="C18" s="1"/>
      <c r="D18" s="1" t="s">
        <v>29</v>
      </c>
      <c r="E18" s="3">
        <v>30</v>
      </c>
      <c r="F18" s="4">
        <f t="shared" si="1"/>
        <v>1.65</v>
      </c>
      <c r="G18" s="2"/>
    </row>
    <row r="19" spans="1:7">
      <c r="A19" s="1"/>
      <c r="B19" s="1">
        <v>55</v>
      </c>
      <c r="C19" s="1"/>
      <c r="D19" s="1" t="s">
        <v>30</v>
      </c>
      <c r="E19" s="3">
        <v>30</v>
      </c>
      <c r="F19" s="4">
        <f t="shared" si="1"/>
        <v>1.65</v>
      </c>
      <c r="G19" s="2"/>
    </row>
    <row r="20" spans="1:7">
      <c r="A20" s="1"/>
      <c r="B20" s="1">
        <v>55</v>
      </c>
      <c r="C20" s="1"/>
      <c r="D20" s="1" t="s">
        <v>31</v>
      </c>
      <c r="E20" s="3">
        <v>5</v>
      </c>
      <c r="F20" s="4">
        <f t="shared" si="1"/>
        <v>0.27500000000000002</v>
      </c>
      <c r="G20" s="2"/>
    </row>
    <row r="21" spans="1:7">
      <c r="A21" s="1"/>
      <c r="B21" s="1">
        <v>55</v>
      </c>
      <c r="C21" s="1"/>
      <c r="D21" s="1" t="s">
        <v>32</v>
      </c>
      <c r="E21" s="3">
        <v>0</v>
      </c>
      <c r="F21" s="4">
        <f t="shared" si="1"/>
        <v>0</v>
      </c>
      <c r="G21" s="2"/>
    </row>
    <row r="22" spans="1:7">
      <c r="A22" s="1"/>
      <c r="B22" s="1">
        <v>55</v>
      </c>
      <c r="C22" s="1" t="s">
        <v>33</v>
      </c>
      <c r="D22" s="1" t="s">
        <v>34</v>
      </c>
      <c r="E22" s="3">
        <v>100</v>
      </c>
      <c r="F22" s="4">
        <f t="shared" si="1"/>
        <v>5.5</v>
      </c>
      <c r="G22" s="2"/>
    </row>
    <row r="23" spans="1:7">
      <c r="A23" s="1"/>
      <c r="B23" s="1">
        <v>55</v>
      </c>
      <c r="C23" s="1"/>
      <c r="D23" s="1" t="s">
        <v>35</v>
      </c>
      <c r="E23" s="3">
        <v>5</v>
      </c>
      <c r="F23" s="4">
        <f t="shared" si="1"/>
        <v>0.27500000000000002</v>
      </c>
      <c r="G23" s="2"/>
    </row>
    <row r="24" spans="1:7">
      <c r="A24" s="1"/>
      <c r="B24" s="1">
        <v>55</v>
      </c>
      <c r="C24" s="1" t="s">
        <v>19</v>
      </c>
      <c r="D24" s="1" t="s">
        <v>19</v>
      </c>
      <c r="E24" s="3">
        <v>40</v>
      </c>
      <c r="F24" s="4">
        <f t="shared" si="1"/>
        <v>2.2000000000000002</v>
      </c>
      <c r="G24" s="2"/>
    </row>
    <row r="25" spans="1:7">
      <c r="A25" s="8"/>
      <c r="B25" s="8"/>
      <c r="C25" s="8"/>
      <c r="D25" s="8"/>
      <c r="E25" s="6"/>
      <c r="F25" s="6"/>
      <c r="G25" s="6"/>
    </row>
    <row r="26" spans="1:7">
      <c r="A26" s="1"/>
      <c r="B26" s="1"/>
      <c r="C26" s="1"/>
      <c r="D26" s="1"/>
      <c r="E26" s="2"/>
      <c r="F26" s="2"/>
      <c r="G26" s="2"/>
    </row>
    <row r="27" spans="1:7">
      <c r="A27" s="1"/>
      <c r="B27" s="1"/>
      <c r="C27" s="1"/>
      <c r="D27" s="1"/>
      <c r="E27" s="2"/>
      <c r="F27" s="2"/>
      <c r="G27" s="2"/>
    </row>
    <row r="28" spans="1:7">
      <c r="A28" s="1"/>
      <c r="B28" s="1"/>
      <c r="C28" s="1"/>
      <c r="D28" s="1"/>
      <c r="E28" s="2"/>
      <c r="F28" s="2"/>
      <c r="G28" s="2"/>
    </row>
    <row r="29" spans="1:7">
      <c r="A29" s="1"/>
      <c r="B29" s="1"/>
      <c r="C29" s="1"/>
      <c r="D29" s="1"/>
      <c r="E29" s="2"/>
      <c r="F29" s="2"/>
      <c r="G29" s="2"/>
    </row>
    <row r="30" spans="1:7">
      <c r="A30" s="1"/>
      <c r="B30" s="1"/>
      <c r="C30" s="1"/>
      <c r="D30" s="1"/>
      <c r="E30" s="2"/>
      <c r="F30" s="2"/>
      <c r="G30" s="2"/>
    </row>
    <row r="31" spans="1:7">
      <c r="A31" s="1"/>
      <c r="B31" s="1"/>
      <c r="C31" s="1"/>
      <c r="D31" s="1"/>
      <c r="E31" s="2"/>
      <c r="F31" s="2"/>
      <c r="G31" s="2"/>
    </row>
    <row r="32" spans="1:7">
      <c r="A32" s="1"/>
      <c r="B32" s="1"/>
      <c r="C32" s="1"/>
      <c r="D32" s="1"/>
      <c r="E32" s="2"/>
      <c r="F32" s="2"/>
      <c r="G32" s="2"/>
    </row>
    <row r="33" spans="1:7">
      <c r="A33" s="1"/>
      <c r="B33" s="1"/>
      <c r="C33" s="1"/>
      <c r="D33" s="1"/>
      <c r="E33" s="2"/>
      <c r="F33" s="2"/>
      <c r="G3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topLeftCell="A3" workbookViewId="0">
      <selection activeCell="C14" sqref="C14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0.125" customWidth="1"/>
  </cols>
  <sheetData>
    <row r="1" spans="1:8" ht="25.5" customHeight="1">
      <c r="A1" s="12" t="s">
        <v>137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42002</v>
      </c>
      <c r="B3" s="1">
        <v>55</v>
      </c>
      <c r="C3" s="1" t="s">
        <v>38</v>
      </c>
      <c r="D3" s="1" t="s">
        <v>39</v>
      </c>
      <c r="E3" s="3">
        <v>2</v>
      </c>
      <c r="F3" s="4">
        <f>(B3*E3)/1000</f>
        <v>0.11</v>
      </c>
      <c r="G3" s="2"/>
    </row>
    <row r="4" spans="1:8">
      <c r="A4" s="1" t="s">
        <v>1</v>
      </c>
      <c r="B4" s="1">
        <v>55</v>
      </c>
      <c r="C4" s="1" t="s">
        <v>138</v>
      </c>
      <c r="D4" s="1" t="s">
        <v>40</v>
      </c>
      <c r="E4" s="3">
        <v>40</v>
      </c>
      <c r="F4" s="4">
        <f t="shared" ref="F4:F16" si="0">(B4*E4)/1000</f>
        <v>2.2000000000000002</v>
      </c>
      <c r="G4" s="2"/>
    </row>
    <row r="5" spans="1:8">
      <c r="A5" s="1" t="s">
        <v>37</v>
      </c>
      <c r="B5" s="1">
        <v>55</v>
      </c>
      <c r="C5" s="1"/>
      <c r="D5" s="1" t="s">
        <v>20</v>
      </c>
      <c r="E5" s="3">
        <v>10</v>
      </c>
      <c r="F5" s="4">
        <f>(B5*E5)/1000</f>
        <v>0.55000000000000004</v>
      </c>
      <c r="G5" s="2"/>
    </row>
    <row r="6" spans="1:8">
      <c r="A6" s="1"/>
      <c r="B6" s="1">
        <v>55</v>
      </c>
      <c r="C6" s="1"/>
      <c r="D6" s="1" t="s">
        <v>139</v>
      </c>
      <c r="E6" s="3">
        <v>5</v>
      </c>
      <c r="F6" s="4">
        <f>(B6*E6)/1000</f>
        <v>0.27500000000000002</v>
      </c>
      <c r="G6" s="2"/>
    </row>
    <row r="7" spans="1:8">
      <c r="A7" s="1"/>
      <c r="B7" s="1">
        <v>55</v>
      </c>
      <c r="C7" s="1" t="s">
        <v>41</v>
      </c>
      <c r="D7" s="1" t="s">
        <v>42</v>
      </c>
      <c r="E7" s="3">
        <v>50</v>
      </c>
      <c r="F7" s="4">
        <f t="shared" si="0"/>
        <v>2.75</v>
      </c>
      <c r="G7" s="2"/>
    </row>
    <row r="8" spans="1:8">
      <c r="A8" s="1"/>
      <c r="B8" s="1">
        <v>55</v>
      </c>
      <c r="C8" s="1"/>
      <c r="D8" s="1" t="s">
        <v>43</v>
      </c>
      <c r="E8" s="3">
        <v>100</v>
      </c>
      <c r="F8" s="4">
        <f t="shared" si="0"/>
        <v>5.5</v>
      </c>
      <c r="G8" s="2"/>
    </row>
    <row r="9" spans="1:8" ht="17.25">
      <c r="A9" s="1"/>
      <c r="B9" s="1">
        <v>55</v>
      </c>
      <c r="C9" s="1"/>
      <c r="D9" s="11" t="s">
        <v>140</v>
      </c>
      <c r="E9" s="3">
        <v>20</v>
      </c>
      <c r="F9" s="4">
        <f t="shared" si="0"/>
        <v>1.1000000000000001</v>
      </c>
      <c r="G9" s="2"/>
    </row>
    <row r="10" spans="1:8">
      <c r="A10" s="1"/>
      <c r="B10" s="1">
        <v>55</v>
      </c>
      <c r="C10" s="1"/>
      <c r="D10" s="1" t="s">
        <v>46</v>
      </c>
      <c r="E10" s="3">
        <v>30</v>
      </c>
      <c r="F10" s="4">
        <f t="shared" si="0"/>
        <v>1.65</v>
      </c>
      <c r="G10" s="2"/>
    </row>
    <row r="11" spans="1:8">
      <c r="A11" s="1"/>
      <c r="B11" s="1">
        <v>55</v>
      </c>
      <c r="C11" s="1"/>
      <c r="D11" s="1" t="s">
        <v>20</v>
      </c>
      <c r="E11" s="3">
        <v>20</v>
      </c>
      <c r="F11" s="4">
        <f t="shared" si="0"/>
        <v>1.1000000000000001</v>
      </c>
      <c r="G11" s="2"/>
    </row>
    <row r="12" spans="1:8">
      <c r="A12" s="1"/>
      <c r="B12" s="1">
        <v>55</v>
      </c>
      <c r="C12" s="1" t="s">
        <v>47</v>
      </c>
      <c r="D12" s="1" t="s">
        <v>48</v>
      </c>
      <c r="E12" s="3">
        <v>100</v>
      </c>
      <c r="F12" s="4">
        <f t="shared" si="0"/>
        <v>5.5</v>
      </c>
      <c r="G12" s="2"/>
    </row>
    <row r="13" spans="1:8">
      <c r="A13" s="1"/>
      <c r="B13" s="1">
        <v>55</v>
      </c>
      <c r="C13" s="1"/>
      <c r="D13" s="1" t="s">
        <v>45</v>
      </c>
      <c r="E13" s="3">
        <v>30</v>
      </c>
      <c r="F13" s="4">
        <f t="shared" si="0"/>
        <v>1.65</v>
      </c>
      <c r="G13" s="2"/>
    </row>
    <row r="14" spans="1:8">
      <c r="A14" s="1"/>
      <c r="B14" s="1">
        <v>55</v>
      </c>
      <c r="C14" s="1"/>
      <c r="D14" s="1" t="s">
        <v>36</v>
      </c>
      <c r="E14" s="3">
        <v>3</v>
      </c>
      <c r="F14" s="4">
        <f t="shared" si="0"/>
        <v>0.16500000000000001</v>
      </c>
      <c r="G14" s="2"/>
    </row>
    <row r="15" spans="1:8">
      <c r="A15" s="1"/>
      <c r="B15" s="1">
        <v>55</v>
      </c>
      <c r="C15" s="1"/>
      <c r="D15" s="1" t="s">
        <v>49</v>
      </c>
      <c r="E15" s="3">
        <v>30</v>
      </c>
      <c r="F15" s="4">
        <f t="shared" si="0"/>
        <v>1.65</v>
      </c>
      <c r="G15" s="2"/>
    </row>
    <row r="16" spans="1:8">
      <c r="A16" s="1"/>
      <c r="B16" s="1">
        <v>55</v>
      </c>
      <c r="C16" s="1" t="s">
        <v>134</v>
      </c>
      <c r="D16" s="1" t="s">
        <v>134</v>
      </c>
      <c r="E16" s="3">
        <v>40</v>
      </c>
      <c r="F16" s="4">
        <f t="shared" si="0"/>
        <v>2.2000000000000002</v>
      </c>
      <c r="G16" s="2"/>
    </row>
    <row r="17" spans="1:7">
      <c r="A17" s="8"/>
      <c r="B17" s="8"/>
      <c r="C17" s="8"/>
      <c r="D17" s="8"/>
      <c r="E17" s="6"/>
      <c r="F17" s="6"/>
      <c r="G17" s="6"/>
    </row>
    <row r="18" spans="1:7">
      <c r="A18" s="7">
        <v>42003</v>
      </c>
      <c r="B18" s="1">
        <v>55</v>
      </c>
      <c r="C18" s="1" t="s">
        <v>50</v>
      </c>
      <c r="D18" s="1" t="s">
        <v>51</v>
      </c>
      <c r="E18" s="3">
        <v>40</v>
      </c>
      <c r="F18" s="4">
        <f>(B18*E18)/1000</f>
        <v>2.2000000000000002</v>
      </c>
      <c r="G18" s="2"/>
    </row>
    <row r="19" spans="1:7">
      <c r="A19" s="1" t="s">
        <v>58</v>
      </c>
      <c r="B19" s="1">
        <v>55</v>
      </c>
      <c r="C19" s="1"/>
      <c r="D19" s="1" t="s">
        <v>20</v>
      </c>
      <c r="E19" s="3">
        <v>10</v>
      </c>
      <c r="F19" s="4">
        <f t="shared" ref="F19:F27" si="1">(B19*E19)/1000</f>
        <v>0.55000000000000004</v>
      </c>
      <c r="G19" s="2" t="s">
        <v>71</v>
      </c>
    </row>
    <row r="20" spans="1:7">
      <c r="A20" s="1" t="s">
        <v>72</v>
      </c>
      <c r="B20" s="1">
        <v>55</v>
      </c>
      <c r="C20" s="1" t="s">
        <v>52</v>
      </c>
      <c r="D20" s="1" t="s">
        <v>53</v>
      </c>
      <c r="E20" s="3">
        <v>100</v>
      </c>
      <c r="F20" s="4">
        <f t="shared" si="1"/>
        <v>5.5</v>
      </c>
      <c r="G20" s="2"/>
    </row>
    <row r="21" spans="1:7">
      <c r="A21" s="1"/>
      <c r="B21" s="1">
        <v>55</v>
      </c>
      <c r="C21" s="1"/>
      <c r="D21" s="1" t="s">
        <v>44</v>
      </c>
      <c r="E21" s="3">
        <v>40</v>
      </c>
      <c r="F21" s="4">
        <f t="shared" si="1"/>
        <v>2.2000000000000002</v>
      </c>
      <c r="G21" s="2"/>
    </row>
    <row r="22" spans="1:7">
      <c r="A22" s="1"/>
      <c r="B22" s="1">
        <v>55</v>
      </c>
      <c r="C22" s="1"/>
      <c r="D22" s="1" t="s">
        <v>12</v>
      </c>
      <c r="E22" s="3">
        <v>30</v>
      </c>
      <c r="F22" s="4">
        <f t="shared" si="1"/>
        <v>1.65</v>
      </c>
      <c r="G22" s="2"/>
    </row>
    <row r="23" spans="1:7">
      <c r="A23" s="1"/>
      <c r="B23" s="1">
        <v>55</v>
      </c>
      <c r="C23" s="1"/>
      <c r="D23" s="1" t="s">
        <v>54</v>
      </c>
      <c r="E23" s="3">
        <v>30</v>
      </c>
      <c r="F23" s="4">
        <f t="shared" si="1"/>
        <v>1.65</v>
      </c>
      <c r="G23" s="2"/>
    </row>
    <row r="24" spans="1:7">
      <c r="A24" s="1"/>
      <c r="B24" s="1">
        <v>55</v>
      </c>
      <c r="C24" s="1"/>
      <c r="D24" s="1" t="s">
        <v>55</v>
      </c>
      <c r="E24" s="3">
        <v>10</v>
      </c>
      <c r="F24" s="4">
        <f t="shared" si="1"/>
        <v>0.55000000000000004</v>
      </c>
      <c r="G24" s="2" t="s">
        <v>21</v>
      </c>
    </row>
    <row r="25" spans="1:7">
      <c r="A25" s="1"/>
      <c r="B25" s="1">
        <v>55</v>
      </c>
      <c r="C25" s="1"/>
      <c r="D25" s="1" t="s">
        <v>20</v>
      </c>
      <c r="E25" s="3">
        <v>10</v>
      </c>
      <c r="F25" s="4">
        <f t="shared" si="1"/>
        <v>0.55000000000000004</v>
      </c>
      <c r="G25" s="2"/>
    </row>
    <row r="26" spans="1:7">
      <c r="A26" s="1"/>
      <c r="B26" s="1">
        <v>55</v>
      </c>
      <c r="C26" s="1" t="s">
        <v>56</v>
      </c>
      <c r="D26" s="1" t="s">
        <v>57</v>
      </c>
      <c r="E26" s="3">
        <v>80</v>
      </c>
      <c r="F26" s="4">
        <f t="shared" si="1"/>
        <v>4.4000000000000004</v>
      </c>
      <c r="G26" s="2" t="s">
        <v>60</v>
      </c>
    </row>
    <row r="27" spans="1:7">
      <c r="A27" s="1"/>
      <c r="B27" s="1">
        <v>55</v>
      </c>
      <c r="C27" s="1" t="s">
        <v>19</v>
      </c>
      <c r="D27" s="1" t="s">
        <v>19</v>
      </c>
      <c r="E27" s="3">
        <v>40</v>
      </c>
      <c r="F27" s="4">
        <f t="shared" si="1"/>
        <v>2.2000000000000002</v>
      </c>
      <c r="G27" s="2"/>
    </row>
    <row r="28" spans="1:7">
      <c r="A28" s="8"/>
      <c r="B28" s="8"/>
      <c r="C28" s="8"/>
      <c r="D28" s="8"/>
      <c r="E28" s="6"/>
      <c r="F28" s="6"/>
      <c r="G28" s="6"/>
    </row>
    <row r="29" spans="1:7">
      <c r="A29" s="7">
        <v>42003</v>
      </c>
      <c r="B29" s="1">
        <v>55</v>
      </c>
      <c r="C29" s="1" t="s">
        <v>61</v>
      </c>
      <c r="D29" s="1" t="s">
        <v>62</v>
      </c>
      <c r="E29" s="3">
        <v>2</v>
      </c>
      <c r="F29" s="4">
        <f>(B29*E29)/1000</f>
        <v>0.11</v>
      </c>
      <c r="G29" s="2"/>
    </row>
    <row r="30" spans="1:7">
      <c r="A30" s="1" t="s">
        <v>58</v>
      </c>
      <c r="B30" s="1">
        <v>55</v>
      </c>
      <c r="C30" s="1" t="s">
        <v>63</v>
      </c>
      <c r="D30" s="1" t="s">
        <v>64</v>
      </c>
      <c r="E30" s="3">
        <v>80</v>
      </c>
      <c r="F30" s="4">
        <f t="shared" ref="F30:F36" si="2">(B30*E30)/1000</f>
        <v>4.4000000000000004</v>
      </c>
      <c r="G30" s="2"/>
    </row>
    <row r="31" spans="1:7">
      <c r="A31" s="1" t="s">
        <v>22</v>
      </c>
      <c r="B31" s="1">
        <v>55</v>
      </c>
      <c r="C31" s="1"/>
      <c r="D31" s="1" t="s">
        <v>17</v>
      </c>
      <c r="E31" s="3">
        <v>10</v>
      </c>
      <c r="F31" s="4">
        <f t="shared" si="2"/>
        <v>0.55000000000000004</v>
      </c>
      <c r="G31" s="2" t="s">
        <v>65</v>
      </c>
    </row>
    <row r="32" spans="1:7">
      <c r="A32" s="1"/>
      <c r="B32" s="1">
        <v>55</v>
      </c>
      <c r="C32" s="1" t="s">
        <v>66</v>
      </c>
      <c r="D32" s="1" t="s">
        <v>67</v>
      </c>
      <c r="E32" s="3">
        <v>150</v>
      </c>
      <c r="F32" s="4">
        <f t="shared" si="2"/>
        <v>8.25</v>
      </c>
      <c r="G32" s="2"/>
    </row>
    <row r="33" spans="1:7">
      <c r="A33" s="1"/>
      <c r="B33" s="1">
        <v>55</v>
      </c>
      <c r="C33" s="1"/>
      <c r="D33" s="1" t="s">
        <v>68</v>
      </c>
      <c r="E33" s="3">
        <v>50</v>
      </c>
      <c r="F33" s="4">
        <f t="shared" si="2"/>
        <v>2.75</v>
      </c>
      <c r="G33" s="2"/>
    </row>
    <row r="34" spans="1:7">
      <c r="A34" s="1"/>
      <c r="B34" s="1">
        <v>55</v>
      </c>
      <c r="C34" s="1"/>
      <c r="D34" s="1" t="s">
        <v>20</v>
      </c>
      <c r="E34" s="3">
        <v>20</v>
      </c>
      <c r="F34" s="4">
        <f t="shared" si="2"/>
        <v>1.1000000000000001</v>
      </c>
      <c r="G34" s="2" t="s">
        <v>69</v>
      </c>
    </row>
    <row r="35" spans="1:7">
      <c r="A35" s="1"/>
      <c r="B35" s="1">
        <v>55</v>
      </c>
      <c r="C35" s="1" t="s">
        <v>70</v>
      </c>
      <c r="D35" s="1" t="s">
        <v>44</v>
      </c>
      <c r="E35" s="3">
        <v>100</v>
      </c>
      <c r="F35" s="4">
        <f t="shared" si="2"/>
        <v>5.5</v>
      </c>
      <c r="G35" s="2"/>
    </row>
    <row r="36" spans="1:7">
      <c r="A36" s="1"/>
      <c r="B36" s="1">
        <v>55</v>
      </c>
      <c r="C36" s="1" t="s">
        <v>19</v>
      </c>
      <c r="D36" s="1" t="s">
        <v>19</v>
      </c>
      <c r="E36" s="3">
        <v>40</v>
      </c>
      <c r="F36" s="4">
        <f t="shared" si="2"/>
        <v>2.2000000000000002</v>
      </c>
      <c r="G36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>
      <selection activeCell="C30" sqref="C30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0.125" customWidth="1"/>
  </cols>
  <sheetData>
    <row r="1" spans="1:8" ht="25.5" customHeight="1">
      <c r="A1" s="12" t="s">
        <v>141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42003</v>
      </c>
      <c r="B3" s="1">
        <v>55</v>
      </c>
      <c r="C3" s="1" t="s">
        <v>73</v>
      </c>
      <c r="D3" s="1" t="s">
        <v>74</v>
      </c>
      <c r="E3" s="3">
        <v>25</v>
      </c>
      <c r="F3" s="4">
        <f>(B3*E3)/1000</f>
        <v>1.375</v>
      </c>
      <c r="G3" s="2"/>
    </row>
    <row r="4" spans="1:8">
      <c r="A4" s="1" t="s">
        <v>58</v>
      </c>
      <c r="B4" s="1">
        <v>55</v>
      </c>
      <c r="C4" s="1"/>
      <c r="D4" s="1" t="s">
        <v>75</v>
      </c>
      <c r="E4" s="3">
        <v>40</v>
      </c>
      <c r="F4" s="4">
        <f t="shared" ref="F4:F16" si="0">(B4*E4)/1000</f>
        <v>2.2000000000000002</v>
      </c>
      <c r="G4" s="2"/>
    </row>
    <row r="5" spans="1:8">
      <c r="A5" s="1" t="s">
        <v>37</v>
      </c>
      <c r="B5" s="1">
        <v>55</v>
      </c>
      <c r="C5" s="1"/>
      <c r="D5" s="1" t="s">
        <v>76</v>
      </c>
      <c r="E5" s="3">
        <v>50</v>
      </c>
      <c r="F5" s="4">
        <f>(B5*E5)/1000</f>
        <v>2.75</v>
      </c>
      <c r="G5" s="2"/>
    </row>
    <row r="6" spans="1:8">
      <c r="A6" s="1"/>
      <c r="B6" s="1">
        <v>55</v>
      </c>
      <c r="C6" s="1"/>
      <c r="D6" s="1" t="s">
        <v>101</v>
      </c>
      <c r="E6" s="3">
        <v>30</v>
      </c>
      <c r="F6" s="4">
        <f t="shared" si="0"/>
        <v>1.65</v>
      </c>
      <c r="G6" s="2"/>
    </row>
    <row r="7" spans="1:8">
      <c r="A7" s="1"/>
      <c r="B7" s="1">
        <v>55</v>
      </c>
      <c r="C7" s="1"/>
      <c r="D7" s="1" t="s">
        <v>55</v>
      </c>
      <c r="E7" s="3">
        <v>40</v>
      </c>
      <c r="F7" s="4">
        <f t="shared" si="0"/>
        <v>2.2000000000000002</v>
      </c>
      <c r="G7" s="2"/>
    </row>
    <row r="8" spans="1:8">
      <c r="A8" s="1"/>
      <c r="B8" s="1">
        <v>55</v>
      </c>
      <c r="C8" s="1" t="s">
        <v>77</v>
      </c>
      <c r="D8" s="1" t="s">
        <v>78</v>
      </c>
      <c r="E8" s="3">
        <v>2</v>
      </c>
      <c r="F8" s="4">
        <f t="shared" si="0"/>
        <v>0.11</v>
      </c>
      <c r="G8" s="2"/>
    </row>
    <row r="9" spans="1:8">
      <c r="A9" s="1"/>
      <c r="B9" s="1">
        <v>55</v>
      </c>
      <c r="C9" s="1"/>
      <c r="D9" s="1" t="s">
        <v>26</v>
      </c>
      <c r="E9" s="3">
        <v>5</v>
      </c>
      <c r="F9" s="4">
        <f t="shared" si="0"/>
        <v>0.27500000000000002</v>
      </c>
      <c r="G9" s="2"/>
    </row>
    <row r="10" spans="1:8">
      <c r="A10" s="1"/>
      <c r="B10" s="1">
        <v>55</v>
      </c>
      <c r="C10" s="1"/>
      <c r="D10" s="9" t="s">
        <v>79</v>
      </c>
      <c r="E10" s="3">
        <v>10</v>
      </c>
      <c r="F10" s="4">
        <f t="shared" si="0"/>
        <v>0.55000000000000004</v>
      </c>
      <c r="G10" s="2"/>
    </row>
    <row r="11" spans="1:8">
      <c r="A11" s="1"/>
      <c r="B11" s="1">
        <v>55</v>
      </c>
      <c r="C11" s="1" t="s">
        <v>80</v>
      </c>
      <c r="D11" s="1" t="s">
        <v>81</v>
      </c>
      <c r="E11" s="3">
        <v>100</v>
      </c>
      <c r="F11" s="4">
        <f t="shared" si="0"/>
        <v>5.5</v>
      </c>
      <c r="G11" s="2"/>
    </row>
    <row r="12" spans="1:8">
      <c r="A12" s="1"/>
      <c r="B12" s="1">
        <v>55</v>
      </c>
      <c r="C12" s="1"/>
      <c r="D12" s="1" t="s">
        <v>44</v>
      </c>
      <c r="E12" s="3">
        <v>40</v>
      </c>
      <c r="F12" s="4">
        <f t="shared" si="0"/>
        <v>2.2000000000000002</v>
      </c>
      <c r="G12" s="2"/>
    </row>
    <row r="13" spans="1:8">
      <c r="A13" s="1"/>
      <c r="B13" s="1">
        <v>55</v>
      </c>
      <c r="C13" s="1"/>
      <c r="D13" s="1" t="s">
        <v>55</v>
      </c>
      <c r="E13" s="3">
        <v>20</v>
      </c>
      <c r="F13" s="4">
        <f t="shared" si="0"/>
        <v>1.1000000000000001</v>
      </c>
      <c r="G13" s="2"/>
    </row>
    <row r="14" spans="1:8">
      <c r="A14" s="1"/>
      <c r="B14" s="1">
        <v>55</v>
      </c>
      <c r="C14" s="1"/>
      <c r="D14" s="1" t="s">
        <v>142</v>
      </c>
      <c r="E14" s="3">
        <v>10</v>
      </c>
      <c r="F14" s="4">
        <f t="shared" si="0"/>
        <v>0.55000000000000004</v>
      </c>
      <c r="G14" s="2"/>
    </row>
    <row r="15" spans="1:8">
      <c r="A15" s="1"/>
      <c r="B15" s="1">
        <v>55</v>
      </c>
      <c r="C15" s="1"/>
      <c r="D15" s="1" t="s">
        <v>143</v>
      </c>
      <c r="E15" s="3">
        <v>5</v>
      </c>
      <c r="F15" s="4">
        <f t="shared" si="0"/>
        <v>0.27500000000000002</v>
      </c>
      <c r="G15" s="2" t="s">
        <v>82</v>
      </c>
    </row>
    <row r="16" spans="1:8">
      <c r="A16" s="1"/>
      <c r="B16" s="1">
        <v>55</v>
      </c>
      <c r="C16" s="1" t="s">
        <v>19</v>
      </c>
      <c r="D16" s="1" t="s">
        <v>19</v>
      </c>
      <c r="E16" s="3">
        <v>40</v>
      </c>
      <c r="F16" s="4">
        <f t="shared" si="0"/>
        <v>2.2000000000000002</v>
      </c>
      <c r="G16" s="2"/>
    </row>
    <row r="17" spans="1:7">
      <c r="A17" s="8"/>
      <c r="B17" s="8"/>
      <c r="C17" s="8"/>
      <c r="D17" s="8"/>
      <c r="E17" s="6"/>
      <c r="F17" s="6"/>
      <c r="G17" s="6"/>
    </row>
    <row r="18" spans="1:7">
      <c r="A18" s="7">
        <v>42004</v>
      </c>
      <c r="B18" s="1">
        <v>55</v>
      </c>
      <c r="C18" s="1" t="s">
        <v>84</v>
      </c>
      <c r="D18" s="1" t="s">
        <v>85</v>
      </c>
      <c r="E18" s="3">
        <v>10</v>
      </c>
      <c r="F18" s="4">
        <f>(B18*E18)/1000</f>
        <v>0.55000000000000004</v>
      </c>
      <c r="G18" s="2"/>
    </row>
    <row r="19" spans="1:7">
      <c r="A19" s="1" t="s">
        <v>83</v>
      </c>
      <c r="B19" s="1">
        <v>55</v>
      </c>
      <c r="C19" s="1"/>
      <c r="D19" s="1" t="s">
        <v>27</v>
      </c>
      <c r="E19" s="3">
        <v>50</v>
      </c>
      <c r="F19" s="4">
        <f t="shared" ref="F19:F25" si="1">(B19*E19)/1000</f>
        <v>2.75</v>
      </c>
      <c r="G19" s="2" t="s">
        <v>71</v>
      </c>
    </row>
    <row r="20" spans="1:7">
      <c r="A20" s="1" t="s">
        <v>72</v>
      </c>
      <c r="B20" s="1">
        <v>55</v>
      </c>
      <c r="C20" s="1"/>
      <c r="D20" s="1" t="s">
        <v>86</v>
      </c>
      <c r="E20" s="3">
        <v>10</v>
      </c>
      <c r="F20" s="4">
        <f t="shared" si="1"/>
        <v>0.55000000000000004</v>
      </c>
      <c r="G20" s="2"/>
    </row>
    <row r="21" spans="1:7">
      <c r="A21" s="1"/>
      <c r="B21" s="1">
        <v>55</v>
      </c>
      <c r="C21" s="1" t="s">
        <v>87</v>
      </c>
      <c r="D21" s="1" t="s">
        <v>88</v>
      </c>
      <c r="E21" s="3">
        <v>100</v>
      </c>
      <c r="F21" s="4">
        <f t="shared" si="1"/>
        <v>5.5</v>
      </c>
      <c r="G21" s="2"/>
    </row>
    <row r="22" spans="1:7">
      <c r="A22" s="1"/>
      <c r="B22" s="1">
        <v>55</v>
      </c>
      <c r="C22" s="1"/>
      <c r="D22" s="1" t="s">
        <v>102</v>
      </c>
      <c r="E22" s="3">
        <v>10</v>
      </c>
      <c r="F22" s="4">
        <f t="shared" si="1"/>
        <v>0.55000000000000004</v>
      </c>
      <c r="G22" s="2" t="s">
        <v>21</v>
      </c>
    </row>
    <row r="23" spans="1:7">
      <c r="A23" s="1"/>
      <c r="B23" s="1">
        <v>55</v>
      </c>
      <c r="C23" s="1" t="s">
        <v>89</v>
      </c>
      <c r="D23" s="1" t="s">
        <v>90</v>
      </c>
      <c r="E23" s="3">
        <v>40</v>
      </c>
      <c r="F23" s="4">
        <f t="shared" si="1"/>
        <v>2.2000000000000002</v>
      </c>
      <c r="G23" s="2"/>
    </row>
    <row r="24" spans="1:7">
      <c r="A24" s="1"/>
      <c r="B24" s="1">
        <v>55</v>
      </c>
      <c r="C24" s="1"/>
      <c r="D24" s="1" t="s">
        <v>20</v>
      </c>
      <c r="E24" s="3">
        <v>10</v>
      </c>
      <c r="F24" s="4">
        <f>(B24*E24)/1000</f>
        <v>0.55000000000000004</v>
      </c>
      <c r="G24" s="2" t="s">
        <v>131</v>
      </c>
    </row>
    <row r="25" spans="1:7">
      <c r="A25" s="1"/>
      <c r="B25" s="1">
        <v>55</v>
      </c>
      <c r="C25" s="1" t="s">
        <v>19</v>
      </c>
      <c r="D25" s="1" t="s">
        <v>19</v>
      </c>
      <c r="E25" s="3">
        <v>40</v>
      </c>
      <c r="F25" s="4">
        <f t="shared" si="1"/>
        <v>2.2000000000000002</v>
      </c>
      <c r="G25" s="2"/>
    </row>
    <row r="26" spans="1:7">
      <c r="A26" s="8"/>
      <c r="B26" s="8"/>
      <c r="C26" s="8"/>
      <c r="D26" s="8"/>
      <c r="E26" s="6"/>
      <c r="F26" s="6"/>
      <c r="G26" s="6"/>
    </row>
    <row r="27" spans="1:7">
      <c r="A27" s="7">
        <v>42004</v>
      </c>
      <c r="B27" s="1">
        <v>56</v>
      </c>
      <c r="C27" s="1" t="s">
        <v>91</v>
      </c>
      <c r="D27" s="1" t="s">
        <v>86</v>
      </c>
      <c r="E27" s="3">
        <v>50</v>
      </c>
      <c r="F27" s="4">
        <f>(B27*E27)/1000</f>
        <v>2.8</v>
      </c>
      <c r="G27" s="2"/>
    </row>
    <row r="28" spans="1:7">
      <c r="A28" s="1" t="s">
        <v>83</v>
      </c>
      <c r="B28" s="1">
        <v>56</v>
      </c>
      <c r="C28" s="1" t="s">
        <v>93</v>
      </c>
      <c r="D28" s="1" t="s">
        <v>92</v>
      </c>
      <c r="E28" s="3">
        <v>20</v>
      </c>
      <c r="F28" s="4">
        <f t="shared" ref="F28:F35" si="2">(B28*E28)/1000</f>
        <v>1.1200000000000001</v>
      </c>
      <c r="G28" s="2"/>
    </row>
    <row r="29" spans="1:7">
      <c r="A29" s="1" t="s">
        <v>22</v>
      </c>
      <c r="B29" s="1">
        <v>56</v>
      </c>
      <c r="C29" s="1"/>
      <c r="D29" s="1" t="s">
        <v>94</v>
      </c>
      <c r="E29" s="3">
        <v>2</v>
      </c>
      <c r="F29" s="4">
        <f t="shared" si="2"/>
        <v>0.112</v>
      </c>
      <c r="G29" s="2"/>
    </row>
    <row r="30" spans="1:7">
      <c r="A30" s="1"/>
      <c r="B30" s="1">
        <v>56</v>
      </c>
      <c r="C30" s="1" t="s">
        <v>144</v>
      </c>
      <c r="D30" s="1" t="s">
        <v>95</v>
      </c>
      <c r="E30" s="3">
        <v>2</v>
      </c>
      <c r="F30" s="4">
        <f t="shared" si="2"/>
        <v>0.112</v>
      </c>
      <c r="G30" s="2"/>
    </row>
    <row r="31" spans="1:7">
      <c r="A31" s="1"/>
      <c r="B31" s="1">
        <v>56</v>
      </c>
      <c r="C31" s="1" t="s">
        <v>96</v>
      </c>
      <c r="D31" s="1" t="s">
        <v>97</v>
      </c>
      <c r="E31" s="3">
        <v>150</v>
      </c>
      <c r="F31" s="4">
        <f t="shared" si="2"/>
        <v>8.4</v>
      </c>
      <c r="G31" s="2"/>
    </row>
    <row r="32" spans="1:7">
      <c r="A32" s="1"/>
      <c r="B32" s="1">
        <v>56</v>
      </c>
      <c r="C32" s="1"/>
      <c r="D32" s="1" t="s">
        <v>27</v>
      </c>
      <c r="E32" s="3">
        <v>30</v>
      </c>
      <c r="F32" s="4">
        <f t="shared" si="2"/>
        <v>1.68</v>
      </c>
      <c r="G32" s="2"/>
    </row>
    <row r="33" spans="1:7">
      <c r="A33" s="1"/>
      <c r="B33" s="1">
        <v>56</v>
      </c>
      <c r="C33" s="1"/>
      <c r="D33" s="1" t="s">
        <v>20</v>
      </c>
      <c r="E33" s="3">
        <v>10</v>
      </c>
      <c r="F33" s="4">
        <f t="shared" si="2"/>
        <v>0.56000000000000005</v>
      </c>
      <c r="G33" s="2"/>
    </row>
    <row r="34" spans="1:7">
      <c r="A34" s="1"/>
      <c r="B34" s="1">
        <v>56</v>
      </c>
      <c r="C34" s="1" t="s">
        <v>98</v>
      </c>
      <c r="D34" s="1" t="s">
        <v>99</v>
      </c>
      <c r="E34" s="3">
        <v>100</v>
      </c>
      <c r="F34" s="4">
        <f t="shared" si="2"/>
        <v>5.6</v>
      </c>
      <c r="G34" s="2" t="s">
        <v>100</v>
      </c>
    </row>
    <row r="35" spans="1:7">
      <c r="A35" s="1"/>
      <c r="B35" s="1">
        <v>56</v>
      </c>
      <c r="C35" s="1" t="s">
        <v>103</v>
      </c>
      <c r="D35" s="1" t="s">
        <v>104</v>
      </c>
      <c r="E35" s="3">
        <v>40</v>
      </c>
      <c r="F35" s="4">
        <f t="shared" si="2"/>
        <v>2.2400000000000002</v>
      </c>
      <c r="G35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>
      <selection activeCell="C14" sqref="C14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0.125" customWidth="1"/>
  </cols>
  <sheetData>
    <row r="1" spans="1:8" ht="25.5" customHeight="1">
      <c r="A1" s="12" t="s">
        <v>145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42004</v>
      </c>
      <c r="B3" s="1">
        <v>55</v>
      </c>
      <c r="C3" s="1" t="s">
        <v>105</v>
      </c>
      <c r="D3" s="1" t="s">
        <v>106</v>
      </c>
      <c r="E3" s="3">
        <v>2</v>
      </c>
      <c r="F3" s="4">
        <f>(B3*E3)/1000</f>
        <v>0.11</v>
      </c>
      <c r="G3" s="2"/>
    </row>
    <row r="4" spans="1:8">
      <c r="A4" s="1" t="s">
        <v>83</v>
      </c>
      <c r="B4" s="1">
        <v>55</v>
      </c>
      <c r="C4" s="1" t="s">
        <v>107</v>
      </c>
      <c r="D4" s="1" t="s">
        <v>129</v>
      </c>
      <c r="E4" s="3">
        <v>20</v>
      </c>
      <c r="F4" s="4">
        <f t="shared" ref="F4:F14" si="0">(B4*E4)/1000</f>
        <v>1.1000000000000001</v>
      </c>
      <c r="G4" s="2"/>
    </row>
    <row r="5" spans="1:8">
      <c r="A5" s="1" t="s">
        <v>37</v>
      </c>
      <c r="B5" s="1">
        <v>55</v>
      </c>
      <c r="C5" s="1"/>
      <c r="D5" s="1" t="s">
        <v>108</v>
      </c>
      <c r="E5" s="3">
        <v>20</v>
      </c>
      <c r="F5" s="4">
        <f>(B5*E5)/1000</f>
        <v>1.1000000000000001</v>
      </c>
      <c r="G5" s="2"/>
    </row>
    <row r="6" spans="1:8">
      <c r="A6" s="1"/>
      <c r="B6" s="1">
        <v>55</v>
      </c>
      <c r="C6" s="1"/>
      <c r="D6" s="1" t="s">
        <v>135</v>
      </c>
      <c r="E6" s="3">
        <v>40</v>
      </c>
      <c r="F6" s="4">
        <f t="shared" si="0"/>
        <v>2.2000000000000002</v>
      </c>
      <c r="G6" s="2" t="s">
        <v>130</v>
      </c>
    </row>
    <row r="7" spans="1:8">
      <c r="A7" s="1"/>
      <c r="B7" s="1">
        <v>55</v>
      </c>
      <c r="C7" s="1"/>
      <c r="D7" s="1" t="s">
        <v>17</v>
      </c>
      <c r="E7" s="3">
        <v>10</v>
      </c>
      <c r="F7" s="4">
        <f t="shared" si="0"/>
        <v>0.55000000000000004</v>
      </c>
      <c r="G7" s="2"/>
    </row>
    <row r="8" spans="1:8">
      <c r="A8" s="1"/>
      <c r="B8" s="1">
        <v>55</v>
      </c>
      <c r="C8" s="1" t="s">
        <v>109</v>
      </c>
      <c r="D8" s="1" t="s">
        <v>110</v>
      </c>
      <c r="E8" s="3">
        <v>200</v>
      </c>
      <c r="F8" s="4">
        <f t="shared" si="0"/>
        <v>11</v>
      </c>
      <c r="G8" s="2"/>
    </row>
    <row r="9" spans="1:8">
      <c r="A9" s="1"/>
      <c r="B9" s="1">
        <v>55</v>
      </c>
      <c r="C9" s="1"/>
      <c r="D9" s="1" t="s">
        <v>46</v>
      </c>
      <c r="E9" s="3">
        <v>50</v>
      </c>
      <c r="F9" s="4">
        <f t="shared" si="0"/>
        <v>2.75</v>
      </c>
      <c r="G9" s="2"/>
    </row>
    <row r="10" spans="1:8">
      <c r="A10" s="1"/>
      <c r="B10" s="1">
        <v>55</v>
      </c>
      <c r="C10" s="1"/>
      <c r="D10" s="10" t="s">
        <v>111</v>
      </c>
      <c r="E10" s="3">
        <v>20</v>
      </c>
      <c r="F10" s="4">
        <f t="shared" si="0"/>
        <v>1.1000000000000001</v>
      </c>
      <c r="G10" s="2"/>
    </row>
    <row r="11" spans="1:8">
      <c r="A11" s="1"/>
      <c r="B11" s="1">
        <v>55</v>
      </c>
      <c r="C11" s="1"/>
      <c r="D11" s="1" t="s">
        <v>20</v>
      </c>
      <c r="E11" s="3">
        <v>20</v>
      </c>
      <c r="F11" s="4">
        <f t="shared" si="0"/>
        <v>1.1000000000000001</v>
      </c>
      <c r="G11" s="2"/>
    </row>
    <row r="12" spans="1:8">
      <c r="A12" s="1"/>
      <c r="B12" s="1">
        <v>55</v>
      </c>
      <c r="C12" s="1"/>
      <c r="D12" s="1" t="s">
        <v>112</v>
      </c>
      <c r="E12" s="3">
        <v>0</v>
      </c>
      <c r="F12" s="4">
        <f t="shared" si="0"/>
        <v>0</v>
      </c>
      <c r="G12" s="2"/>
    </row>
    <row r="13" spans="1:8" ht="17.25">
      <c r="A13" s="1"/>
      <c r="B13" s="1">
        <v>55</v>
      </c>
      <c r="C13" s="11" t="s">
        <v>150</v>
      </c>
      <c r="D13" s="1" t="s">
        <v>113</v>
      </c>
      <c r="E13" s="3">
        <v>60</v>
      </c>
      <c r="F13" s="4">
        <f t="shared" si="0"/>
        <v>3.3</v>
      </c>
      <c r="G13" s="2"/>
    </row>
    <row r="14" spans="1:8">
      <c r="A14" s="1"/>
      <c r="B14" s="1">
        <v>55</v>
      </c>
      <c r="C14" s="1"/>
      <c r="D14" s="1" t="s">
        <v>20</v>
      </c>
      <c r="E14" s="3">
        <v>10</v>
      </c>
      <c r="F14" s="4">
        <f t="shared" si="0"/>
        <v>0.55000000000000004</v>
      </c>
      <c r="G14" s="2" t="s">
        <v>114</v>
      </c>
    </row>
    <row r="15" spans="1:8">
      <c r="A15" s="1"/>
      <c r="B15" s="1">
        <v>55</v>
      </c>
      <c r="C15" s="9"/>
      <c r="D15" s="1" t="s">
        <v>59</v>
      </c>
      <c r="E15" s="3">
        <v>0</v>
      </c>
      <c r="F15" s="5">
        <v>0</v>
      </c>
      <c r="G15" s="2"/>
    </row>
    <row r="16" spans="1:8">
      <c r="A16" s="8"/>
      <c r="B16" s="8"/>
      <c r="C16" s="8"/>
      <c r="D16" s="8"/>
      <c r="E16" s="6"/>
      <c r="F16" s="6"/>
      <c r="G16" s="6"/>
    </row>
    <row r="17" spans="1:7">
      <c r="A17" s="7">
        <v>42005</v>
      </c>
      <c r="B17" s="1">
        <v>55</v>
      </c>
      <c r="C17" s="1" t="s">
        <v>146</v>
      </c>
      <c r="D17" s="1" t="s">
        <v>147</v>
      </c>
      <c r="E17" s="3">
        <v>50</v>
      </c>
      <c r="F17" s="4">
        <f>(B17*E17)/1000</f>
        <v>2.75</v>
      </c>
      <c r="G17" s="2"/>
    </row>
    <row r="18" spans="1:7">
      <c r="A18" s="1" t="s">
        <v>115</v>
      </c>
      <c r="B18" s="1">
        <v>55</v>
      </c>
      <c r="C18" s="1"/>
      <c r="D18" s="1" t="s">
        <v>17</v>
      </c>
      <c r="E18" s="3">
        <v>10</v>
      </c>
      <c r="F18" s="4">
        <f t="shared" ref="F18:F25" si="1">(B18*E18)/1000</f>
        <v>0.55000000000000004</v>
      </c>
      <c r="G18" s="2" t="s">
        <v>21</v>
      </c>
    </row>
    <row r="19" spans="1:7">
      <c r="A19" s="1" t="s">
        <v>72</v>
      </c>
      <c r="B19" s="1">
        <v>55</v>
      </c>
      <c r="C19" s="1"/>
      <c r="D19" s="1" t="s">
        <v>148</v>
      </c>
      <c r="E19" s="3">
        <v>10</v>
      </c>
      <c r="F19" s="4">
        <f t="shared" si="1"/>
        <v>0.55000000000000004</v>
      </c>
      <c r="G19" s="2"/>
    </row>
    <row r="20" spans="1:7">
      <c r="A20" s="1"/>
      <c r="B20" s="1">
        <v>55</v>
      </c>
      <c r="C20" s="1" t="s">
        <v>116</v>
      </c>
      <c r="D20" s="1" t="s">
        <v>117</v>
      </c>
      <c r="E20" s="3">
        <v>150</v>
      </c>
      <c r="F20" s="4">
        <f t="shared" si="1"/>
        <v>8.25</v>
      </c>
      <c r="G20" s="2"/>
    </row>
    <row r="21" spans="1:7">
      <c r="A21" s="1"/>
      <c r="B21" s="1">
        <v>55</v>
      </c>
      <c r="C21" s="1"/>
      <c r="D21" s="1" t="s">
        <v>27</v>
      </c>
      <c r="E21" s="3">
        <v>30</v>
      </c>
      <c r="F21" s="4">
        <f t="shared" si="1"/>
        <v>1.65</v>
      </c>
      <c r="G21" s="2"/>
    </row>
    <row r="22" spans="1:7">
      <c r="A22" s="1"/>
      <c r="B22" s="1">
        <v>55</v>
      </c>
      <c r="C22" s="1"/>
      <c r="D22" s="1" t="s">
        <v>20</v>
      </c>
      <c r="E22" s="3">
        <v>10</v>
      </c>
      <c r="F22" s="4">
        <f t="shared" si="1"/>
        <v>0.55000000000000004</v>
      </c>
      <c r="G22" s="2" t="s">
        <v>82</v>
      </c>
    </row>
    <row r="23" spans="1:7">
      <c r="A23" s="1"/>
      <c r="B23" s="1">
        <v>55</v>
      </c>
      <c r="C23" s="1" t="s">
        <v>118</v>
      </c>
      <c r="D23" s="1" t="s">
        <v>119</v>
      </c>
      <c r="E23" s="3">
        <v>70</v>
      </c>
      <c r="F23" s="4">
        <f t="shared" si="1"/>
        <v>3.85</v>
      </c>
      <c r="G23" s="2"/>
    </row>
    <row r="24" spans="1:7">
      <c r="A24" s="1"/>
      <c r="B24" s="1">
        <v>55</v>
      </c>
      <c r="C24" s="1"/>
      <c r="D24" s="1" t="s">
        <v>127</v>
      </c>
      <c r="E24" s="3">
        <v>5</v>
      </c>
      <c r="F24" s="4">
        <f>(B24*E24)/1000</f>
        <v>0.27500000000000002</v>
      </c>
      <c r="G24" s="2"/>
    </row>
    <row r="25" spans="1:7">
      <c r="A25" s="1"/>
      <c r="B25" s="1">
        <v>55</v>
      </c>
      <c r="C25" s="1" t="s">
        <v>19</v>
      </c>
      <c r="D25" s="1" t="s">
        <v>19</v>
      </c>
      <c r="E25" s="3">
        <v>40</v>
      </c>
      <c r="F25" s="4">
        <f t="shared" si="1"/>
        <v>2.2000000000000002</v>
      </c>
      <c r="G25" s="2"/>
    </row>
    <row r="26" spans="1:7">
      <c r="A26" s="8"/>
      <c r="B26" s="8"/>
      <c r="C26" s="8"/>
      <c r="D26" s="8"/>
      <c r="E26" s="6"/>
      <c r="F26" s="6"/>
      <c r="G26" s="6"/>
    </row>
    <row r="27" spans="1:7">
      <c r="A27" s="7">
        <v>42005</v>
      </c>
      <c r="B27" s="1">
        <v>55</v>
      </c>
      <c r="C27" s="1" t="s">
        <v>120</v>
      </c>
      <c r="D27" s="1" t="s">
        <v>121</v>
      </c>
      <c r="E27" s="3">
        <v>2</v>
      </c>
      <c r="F27" s="4">
        <f>(B27*E27)/1000</f>
        <v>0.11</v>
      </c>
      <c r="G27" s="2"/>
    </row>
    <row r="28" spans="1:7">
      <c r="A28" s="1" t="s">
        <v>115</v>
      </c>
      <c r="B28" s="1">
        <v>55</v>
      </c>
      <c r="C28" s="1" t="s">
        <v>122</v>
      </c>
      <c r="D28" s="1" t="s">
        <v>123</v>
      </c>
      <c r="E28" s="3">
        <v>40</v>
      </c>
      <c r="F28" s="4">
        <f t="shared" ref="F28:F34" si="2">(B28*E28)/1000</f>
        <v>2.2000000000000002</v>
      </c>
      <c r="G28" s="2"/>
    </row>
    <row r="29" spans="1:7">
      <c r="A29" s="1" t="s">
        <v>22</v>
      </c>
      <c r="B29" s="1">
        <v>55</v>
      </c>
      <c r="C29" s="1"/>
      <c r="D29" s="1" t="s">
        <v>68</v>
      </c>
      <c r="E29" s="3">
        <v>50</v>
      </c>
      <c r="F29" s="4">
        <f t="shared" si="2"/>
        <v>2.75</v>
      </c>
      <c r="G29" s="2" t="s">
        <v>21</v>
      </c>
    </row>
    <row r="30" spans="1:7">
      <c r="A30" s="1"/>
      <c r="B30" s="1">
        <v>55</v>
      </c>
      <c r="C30" s="1" t="s">
        <v>124</v>
      </c>
      <c r="D30" s="1" t="s">
        <v>125</v>
      </c>
      <c r="E30" s="3">
        <v>300</v>
      </c>
      <c r="F30" s="4">
        <f t="shared" si="2"/>
        <v>16.5</v>
      </c>
      <c r="G30" s="2"/>
    </row>
    <row r="31" spans="1:7">
      <c r="A31" s="1"/>
      <c r="B31" s="1">
        <v>55</v>
      </c>
      <c r="C31" s="1"/>
      <c r="D31" s="1" t="s">
        <v>132</v>
      </c>
      <c r="E31" s="3">
        <v>30</v>
      </c>
      <c r="F31" s="4">
        <f t="shared" si="2"/>
        <v>1.65</v>
      </c>
      <c r="G31" s="2"/>
    </row>
    <row r="32" spans="1:7">
      <c r="A32" s="1"/>
      <c r="B32" s="1">
        <v>55</v>
      </c>
      <c r="C32" s="1"/>
      <c r="D32" s="1" t="s">
        <v>126</v>
      </c>
      <c r="E32" s="3">
        <v>20</v>
      </c>
      <c r="F32" s="4">
        <f t="shared" si="2"/>
        <v>1.1000000000000001</v>
      </c>
      <c r="G32" s="2"/>
    </row>
    <row r="33" spans="1:7" ht="17.25">
      <c r="A33" s="1"/>
      <c r="B33" s="1">
        <v>55</v>
      </c>
      <c r="C33" s="11" t="s">
        <v>149</v>
      </c>
      <c r="D33" s="1" t="s">
        <v>128</v>
      </c>
      <c r="E33" s="3">
        <v>60</v>
      </c>
      <c r="F33" s="4">
        <f t="shared" si="2"/>
        <v>3.3</v>
      </c>
      <c r="G33" s="2"/>
    </row>
    <row r="34" spans="1:7">
      <c r="A34" s="1"/>
      <c r="B34" s="1">
        <v>55</v>
      </c>
      <c r="C34" s="1" t="s">
        <v>19</v>
      </c>
      <c r="D34" s="1" t="s">
        <v>19</v>
      </c>
      <c r="E34" s="3">
        <v>40</v>
      </c>
      <c r="F34" s="4">
        <f t="shared" si="2"/>
        <v>2.2000000000000002</v>
      </c>
      <c r="G34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2014-12-23T08:19:47Z</cp:lastPrinted>
  <dcterms:created xsi:type="dcterms:W3CDTF">2014-07-29T11:13:47Z</dcterms:created>
  <dcterms:modified xsi:type="dcterms:W3CDTF">2014-12-23T08:20:18Z</dcterms:modified>
</cp:coreProperties>
</file>