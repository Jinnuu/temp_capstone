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2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15" i="5"/>
  <c r="F14"/>
  <c r="F13"/>
  <c r="F12"/>
  <c r="F19" i="10"/>
  <c r="F18"/>
  <c r="F34" i="8"/>
  <c r="F17" i="7"/>
  <c r="F16"/>
  <c r="F15"/>
  <c r="F14"/>
  <c r="F36" i="6"/>
  <c r="F16"/>
  <c r="F15"/>
  <c r="F26" i="4"/>
  <c r="F15"/>
  <c r="F14"/>
  <c r="F13"/>
  <c r="F6"/>
  <c r="F9" i="1"/>
  <c r="F6"/>
  <c r="F7"/>
  <c r="F8"/>
  <c r="F11" i="7" l="1"/>
  <c r="F19"/>
  <c r="F20"/>
  <c r="F21"/>
  <c r="F17" i="8" l="1"/>
  <c r="F30" i="9"/>
  <c r="F22" l="1"/>
  <c r="F13" i="7" l="1"/>
  <c r="F8"/>
  <c r="F7"/>
  <c r="F3" i="5"/>
  <c r="F23" i="1"/>
  <c r="F13" i="10"/>
  <c r="F17"/>
  <c r="F16"/>
  <c r="F15"/>
  <c r="F20"/>
  <c r="F14"/>
  <c r="F12"/>
  <c r="F11"/>
  <c r="F10"/>
  <c r="F9"/>
  <c r="F8"/>
  <c r="F7"/>
  <c r="F6"/>
  <c r="F5"/>
  <c r="F4"/>
  <c r="F3"/>
  <c r="F25" i="9"/>
  <c r="F39"/>
  <c r="F38"/>
  <c r="F37"/>
  <c r="F36"/>
  <c r="F35"/>
  <c r="F34"/>
  <c r="F33"/>
  <c r="F32"/>
  <c r="F31"/>
  <c r="F29"/>
  <c r="F28"/>
  <c r="F26"/>
  <c r="F24"/>
  <c r="F23"/>
  <c r="F21"/>
  <c r="F20"/>
  <c r="F19"/>
  <c r="F18"/>
  <c r="F14"/>
  <c r="F13"/>
  <c r="F12"/>
  <c r="F11"/>
  <c r="F10"/>
  <c r="F9"/>
  <c r="F8"/>
  <c r="F7"/>
  <c r="F6"/>
  <c r="F5"/>
  <c r="F4"/>
  <c r="F3"/>
  <c r="F33" i="8"/>
  <c r="F13"/>
  <c r="F12"/>
  <c r="F11"/>
  <c r="F10"/>
  <c r="F37"/>
  <c r="F36"/>
  <c r="F35"/>
  <c r="F32"/>
  <c r="F31"/>
  <c r="F30"/>
  <c r="F29"/>
  <c r="F28"/>
  <c r="F26"/>
  <c r="F25"/>
  <c r="F24"/>
  <c r="F23"/>
  <c r="F22"/>
  <c r="F21"/>
  <c r="F20"/>
  <c r="F19"/>
  <c r="F18"/>
  <c r="F15"/>
  <c r="F14"/>
  <c r="F9"/>
  <c r="F8"/>
  <c r="F7"/>
  <c r="F6"/>
  <c r="F5"/>
  <c r="F4"/>
  <c r="F3"/>
  <c r="F42" i="7"/>
  <c r="F41"/>
  <c r="F28"/>
  <c r="F27"/>
  <c r="F40"/>
  <c r="F39"/>
  <c r="F38"/>
  <c r="F37"/>
  <c r="F36"/>
  <c r="F35"/>
  <c r="F34"/>
  <c r="F33"/>
  <c r="F32"/>
  <c r="F31"/>
  <c r="F29"/>
  <c r="F26"/>
  <c r="F25"/>
  <c r="F24"/>
  <c r="F23"/>
  <c r="F22"/>
  <c r="F18"/>
  <c r="F12"/>
  <c r="F10"/>
  <c r="F9"/>
  <c r="F6"/>
  <c r="F5"/>
  <c r="F4"/>
  <c r="F3"/>
  <c r="F3" i="6"/>
  <c r="F20" i="4"/>
  <c r="F21"/>
  <c r="F22"/>
  <c r="F23"/>
  <c r="F24"/>
  <c r="F25"/>
  <c r="F27"/>
  <c r="F28"/>
  <c r="F19"/>
  <c r="F40" i="6"/>
  <c r="F39"/>
  <c r="F38"/>
  <c r="F37"/>
  <c r="F35"/>
  <c r="F34"/>
  <c r="F33"/>
  <c r="F32"/>
  <c r="F31"/>
  <c r="F30"/>
  <c r="F29"/>
  <c r="F28"/>
  <c r="F26"/>
  <c r="F24"/>
  <c r="F23"/>
  <c r="F22"/>
  <c r="F21"/>
  <c r="F20"/>
  <c r="F19"/>
  <c r="F18"/>
  <c r="F14"/>
  <c r="F13"/>
  <c r="F12"/>
  <c r="F11"/>
  <c r="F10"/>
  <c r="F9"/>
  <c r="F8"/>
  <c r="F7"/>
  <c r="F6"/>
  <c r="F5"/>
  <c r="F4"/>
  <c r="F32" i="5" l="1"/>
  <c r="F33"/>
  <c r="F34"/>
  <c r="F35"/>
  <c r="F36"/>
  <c r="F37"/>
  <c r="F38"/>
  <c r="F39"/>
  <c r="F40"/>
  <c r="F41"/>
  <c r="F42"/>
  <c r="F43"/>
  <c r="F31"/>
  <c r="F10"/>
  <c r="F9"/>
  <c r="F32" i="4"/>
  <c r="F33"/>
  <c r="F34"/>
  <c r="F35"/>
  <c r="F36"/>
  <c r="F37"/>
  <c r="F38"/>
  <c r="F39"/>
  <c r="F40"/>
  <c r="F41"/>
  <c r="F42"/>
  <c r="F43"/>
  <c r="F31"/>
  <c r="F4"/>
  <c r="F5"/>
  <c r="F7"/>
  <c r="F8"/>
  <c r="F9"/>
  <c r="F10"/>
  <c r="F11"/>
  <c r="F12"/>
  <c r="F16"/>
  <c r="F17"/>
  <c r="F3"/>
  <c r="F17" i="1"/>
  <c r="F18"/>
  <c r="F19"/>
  <c r="F20"/>
  <c r="F21"/>
  <c r="F22"/>
  <c r="F24"/>
  <c r="F25"/>
  <c r="F26"/>
  <c r="F27"/>
  <c r="F16"/>
  <c r="F4"/>
  <c r="F5"/>
  <c r="F10"/>
  <c r="F11"/>
  <c r="F12"/>
  <c r="F13"/>
  <c r="F14"/>
  <c r="F3"/>
  <c r="F20" i="5" l="1"/>
  <c r="F21"/>
  <c r="F22"/>
  <c r="F23"/>
  <c r="F24"/>
  <c r="F25"/>
  <c r="F26"/>
  <c r="F27"/>
  <c r="F28"/>
  <c r="F19"/>
  <c r="F7"/>
  <c r="F8"/>
  <c r="F11"/>
  <c r="F16"/>
  <c r="F5"/>
  <c r="F6"/>
  <c r="F4"/>
</calcChain>
</file>

<file path=xl/sharedStrings.xml><?xml version="1.0" encoding="utf-8"?>
<sst xmlns="http://schemas.openxmlformats.org/spreadsheetml/2006/main" count="488" uniqueCount="320">
  <si>
    <t>날짜</t>
    <phoneticPr fontId="1" type="noConversion"/>
  </si>
  <si>
    <t>월</t>
    <phoneticPr fontId="1" type="noConversion"/>
  </si>
  <si>
    <t>조식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</si>
  <si>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</si>
  <si>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</si>
  <si>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</si>
  <si>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총량</t>
    <phoneticPr fontId="1" type="noConversion"/>
  </si>
  <si>
    <t>비고</t>
    <phoneticPr fontId="1" type="noConversion"/>
  </si>
  <si>
    <t>배추김치</t>
    <phoneticPr fontId="1" type="noConversion"/>
  </si>
  <si>
    <t>중식</t>
    <phoneticPr fontId="1" type="noConversion"/>
  </si>
  <si>
    <t>양파</t>
    <phoneticPr fontId="1" type="noConversion"/>
  </si>
  <si>
    <t>석식</t>
    <phoneticPr fontId="1" type="noConversion"/>
  </si>
  <si>
    <t>무</t>
    <phoneticPr fontId="1" type="noConversion"/>
  </si>
  <si>
    <t>두부조림</t>
    <phoneticPr fontId="1" type="noConversion"/>
  </si>
  <si>
    <t>화</t>
    <phoneticPr fontId="1" type="noConversion"/>
  </si>
  <si>
    <t>대파적당량</t>
    <phoneticPr fontId="1" type="noConversion"/>
  </si>
  <si>
    <t>대파적당량</t>
    <phoneticPr fontId="1" type="noConversion"/>
  </si>
  <si>
    <t>1인량</t>
    <phoneticPr fontId="1" type="noConversion"/>
  </si>
  <si>
    <t>당근</t>
    <phoneticPr fontId="1" type="noConversion"/>
  </si>
  <si>
    <t>보리밥</t>
    <phoneticPr fontId="1" type="noConversion"/>
  </si>
  <si>
    <t>보리</t>
    <phoneticPr fontId="1" type="noConversion"/>
  </si>
  <si>
    <t>1인량</t>
    <phoneticPr fontId="1" type="noConversion"/>
  </si>
  <si>
    <t>도토리묵국</t>
    <phoneticPr fontId="1" type="noConversion"/>
  </si>
  <si>
    <t>견과류멸치볶음</t>
    <phoneticPr fontId="1" type="noConversion"/>
  </si>
  <si>
    <t>도토리묵</t>
    <phoneticPr fontId="1" type="noConversion"/>
  </si>
  <si>
    <t>맛김치</t>
    <phoneticPr fontId="1" type="noConversion"/>
  </si>
  <si>
    <t>김가루</t>
    <phoneticPr fontId="1" type="noConversion"/>
  </si>
  <si>
    <t>땅콩</t>
    <phoneticPr fontId="1" type="noConversion"/>
  </si>
  <si>
    <t>호두</t>
    <phoneticPr fontId="1" type="noConversion"/>
  </si>
  <si>
    <t>건멸치</t>
    <phoneticPr fontId="1" type="noConversion"/>
  </si>
  <si>
    <t>감자</t>
    <phoneticPr fontId="1" type="noConversion"/>
  </si>
  <si>
    <t>양파</t>
    <phoneticPr fontId="1" type="noConversion"/>
  </si>
  <si>
    <t>근대된장국</t>
    <phoneticPr fontId="1" type="noConversion"/>
  </si>
  <si>
    <t>오삼불고기</t>
    <phoneticPr fontId="1" type="noConversion"/>
  </si>
  <si>
    <t>양배추쌈/쌈장</t>
    <phoneticPr fontId="1" type="noConversion"/>
  </si>
  <si>
    <t>배추김치</t>
    <phoneticPr fontId="1" type="noConversion"/>
  </si>
  <si>
    <t>근대</t>
    <phoneticPr fontId="1" type="noConversion"/>
  </si>
  <si>
    <t>양파</t>
    <phoneticPr fontId="1" type="noConversion"/>
  </si>
  <si>
    <t>대파</t>
    <phoneticPr fontId="1" type="noConversion"/>
  </si>
  <si>
    <t>오징어</t>
    <phoneticPr fontId="1" type="noConversion"/>
  </si>
  <si>
    <t>돈후지</t>
    <phoneticPr fontId="1" type="noConversion"/>
  </si>
  <si>
    <t>양배추</t>
    <phoneticPr fontId="1" type="noConversion"/>
  </si>
  <si>
    <t>쌈장</t>
    <phoneticPr fontId="1" type="noConversion"/>
  </si>
  <si>
    <t>배추김치</t>
    <phoneticPr fontId="1" type="noConversion"/>
  </si>
  <si>
    <t>검은콩밥</t>
    <phoneticPr fontId="1" type="noConversion"/>
  </si>
  <si>
    <t>아귀콩나물찜</t>
    <phoneticPr fontId="1" type="noConversion"/>
  </si>
  <si>
    <t>검은콩</t>
    <phoneticPr fontId="1" type="noConversion"/>
  </si>
  <si>
    <t>만두</t>
    <phoneticPr fontId="1" type="noConversion"/>
  </si>
  <si>
    <t>아귀</t>
    <phoneticPr fontId="1" type="noConversion"/>
  </si>
  <si>
    <t>미나리</t>
    <phoneticPr fontId="1" type="noConversion"/>
  </si>
  <si>
    <t>동태찌개</t>
    <phoneticPr fontId="1" type="noConversion"/>
  </si>
  <si>
    <t>표고버섯무나물</t>
    <phoneticPr fontId="1" type="noConversion"/>
  </si>
  <si>
    <t>표고버섯캔</t>
    <phoneticPr fontId="1" type="noConversion"/>
  </si>
  <si>
    <t>무</t>
    <phoneticPr fontId="1" type="noConversion"/>
  </si>
  <si>
    <t>들깨가루</t>
    <phoneticPr fontId="1" type="noConversion"/>
  </si>
  <si>
    <t>동태</t>
    <phoneticPr fontId="1" type="noConversion"/>
  </si>
  <si>
    <t>쑥갓</t>
    <phoneticPr fontId="1" type="noConversion"/>
  </si>
  <si>
    <t>두부</t>
    <phoneticPr fontId="1" type="noConversion"/>
  </si>
  <si>
    <t>차조밥</t>
    <phoneticPr fontId="1" type="noConversion"/>
  </si>
  <si>
    <t>버섯고추장찌개</t>
    <phoneticPr fontId="1" type="noConversion"/>
  </si>
  <si>
    <t>우육메추리알장조림</t>
    <phoneticPr fontId="1" type="noConversion"/>
  </si>
  <si>
    <t>실곤약무침</t>
    <phoneticPr fontId="1" type="noConversion"/>
  </si>
  <si>
    <t>배추김치</t>
    <phoneticPr fontId="1" type="noConversion"/>
  </si>
  <si>
    <t>차조</t>
    <phoneticPr fontId="1" type="noConversion"/>
  </si>
  <si>
    <t>쇠고기우둔</t>
    <phoneticPr fontId="1" type="noConversion"/>
  </si>
  <si>
    <t>표고버섯</t>
    <phoneticPr fontId="1" type="noConversion"/>
  </si>
  <si>
    <t>호박</t>
    <phoneticPr fontId="1" type="noConversion"/>
  </si>
  <si>
    <t>메추리알</t>
    <phoneticPr fontId="1" type="noConversion"/>
  </si>
  <si>
    <t>꽈리고추</t>
    <phoneticPr fontId="1" type="noConversion"/>
  </si>
  <si>
    <t>실곤약</t>
    <phoneticPr fontId="1" type="noConversion"/>
  </si>
  <si>
    <t>배추김치</t>
    <phoneticPr fontId="1" type="noConversion"/>
  </si>
  <si>
    <t>화</t>
    <phoneticPr fontId="1" type="noConversion"/>
  </si>
  <si>
    <t>석식</t>
    <phoneticPr fontId="1" type="noConversion"/>
  </si>
  <si>
    <t>데미커리덮밥</t>
    <phoneticPr fontId="1" type="noConversion"/>
  </si>
  <si>
    <t>닭가슴살</t>
    <phoneticPr fontId="1" type="noConversion"/>
  </si>
  <si>
    <t>쑥갓</t>
    <phoneticPr fontId="1" type="noConversion"/>
  </si>
  <si>
    <t>500개</t>
    <phoneticPr fontId="1" type="noConversion"/>
  </si>
  <si>
    <t>수</t>
    <phoneticPr fontId="1" type="noConversion"/>
  </si>
  <si>
    <t>조식</t>
    <phoneticPr fontId="1" type="noConversion"/>
  </si>
  <si>
    <t>달걀부추국</t>
    <phoneticPr fontId="1" type="noConversion"/>
  </si>
  <si>
    <t>소불고기</t>
    <phoneticPr fontId="1" type="noConversion"/>
  </si>
  <si>
    <t>콩나물무침</t>
    <phoneticPr fontId="1" type="noConversion"/>
  </si>
  <si>
    <t>달걀</t>
    <phoneticPr fontId="1" type="noConversion"/>
  </si>
  <si>
    <t>부추</t>
    <phoneticPr fontId="1" type="noConversion"/>
  </si>
  <si>
    <t>우전지</t>
    <phoneticPr fontId="1" type="noConversion"/>
  </si>
  <si>
    <t>팽이버섯</t>
    <phoneticPr fontId="1" type="noConversion"/>
  </si>
  <si>
    <t>당근</t>
    <phoneticPr fontId="1" type="noConversion"/>
  </si>
  <si>
    <t>콩나물</t>
    <phoneticPr fontId="1" type="noConversion"/>
  </si>
  <si>
    <t>250개</t>
    <phoneticPr fontId="1" type="noConversion"/>
  </si>
  <si>
    <t>수</t>
    <phoneticPr fontId="1" type="noConversion"/>
  </si>
  <si>
    <t>중식</t>
    <phoneticPr fontId="1" type="noConversion"/>
  </si>
  <si>
    <t>기장밥</t>
    <phoneticPr fontId="1" type="noConversion"/>
  </si>
  <si>
    <t>부대찌개</t>
    <phoneticPr fontId="1" type="noConversion"/>
  </si>
  <si>
    <t>삼치데리야끼구이</t>
    <phoneticPr fontId="1" type="noConversion"/>
  </si>
  <si>
    <t>새송이버섯</t>
    <phoneticPr fontId="1" type="noConversion"/>
  </si>
  <si>
    <t>빨강파프리카</t>
    <phoneticPr fontId="1" type="noConversion"/>
  </si>
  <si>
    <t>배추김치</t>
    <phoneticPr fontId="1" type="noConversion"/>
  </si>
  <si>
    <t>기장</t>
    <phoneticPr fontId="1" type="noConversion"/>
  </si>
  <si>
    <t>부대찌개햄</t>
    <phoneticPr fontId="1" type="noConversion"/>
  </si>
  <si>
    <t>맛김치</t>
    <phoneticPr fontId="1" type="noConversion"/>
  </si>
  <si>
    <t>떡국떡</t>
    <phoneticPr fontId="1" type="noConversion"/>
  </si>
  <si>
    <t>두부</t>
    <phoneticPr fontId="1" type="noConversion"/>
  </si>
  <si>
    <t>팽이버섯</t>
    <phoneticPr fontId="1" type="noConversion"/>
  </si>
  <si>
    <t>삼치</t>
    <phoneticPr fontId="1" type="noConversion"/>
  </si>
  <si>
    <t>데리야끼소스</t>
    <phoneticPr fontId="1" type="noConversion"/>
  </si>
  <si>
    <t>배추김치</t>
    <phoneticPr fontId="1" type="noConversion"/>
  </si>
  <si>
    <t>깍두기</t>
    <phoneticPr fontId="1" type="noConversion"/>
  </si>
  <si>
    <t>열무김치</t>
    <phoneticPr fontId="1" type="noConversion"/>
  </si>
  <si>
    <t>현미밥</t>
    <phoneticPr fontId="1" type="noConversion"/>
  </si>
  <si>
    <t>현미</t>
    <phoneticPr fontId="1" type="noConversion"/>
  </si>
  <si>
    <t>호박/양파 각</t>
    <phoneticPr fontId="1" type="noConversion"/>
  </si>
  <si>
    <t>노랑파프리카</t>
    <phoneticPr fontId="1" type="noConversion"/>
  </si>
  <si>
    <t>무/양파 각</t>
    <phoneticPr fontId="1" type="noConversion"/>
  </si>
  <si>
    <t>건미역</t>
    <phoneticPr fontId="1" type="noConversion"/>
  </si>
  <si>
    <t>통가슴살치킨까스</t>
    <phoneticPr fontId="1" type="noConversion"/>
  </si>
  <si>
    <t>통가슴살치킨가스</t>
    <phoneticPr fontId="1" type="noConversion"/>
  </si>
  <si>
    <t>돈까스소스</t>
    <phoneticPr fontId="1" type="noConversion"/>
  </si>
  <si>
    <t>야채샐러드</t>
    <phoneticPr fontId="1" type="noConversion"/>
  </si>
  <si>
    <t>양송이슬라이스캔</t>
    <phoneticPr fontId="1" type="noConversion"/>
  </si>
  <si>
    <t>양파/당근 각</t>
    <phoneticPr fontId="1" type="noConversion"/>
  </si>
  <si>
    <t>양상추</t>
    <phoneticPr fontId="1" type="noConversion"/>
  </si>
  <si>
    <t>치커리</t>
    <phoneticPr fontId="1" type="noConversion"/>
  </si>
  <si>
    <t>옥수수콘</t>
    <phoneticPr fontId="1" type="noConversion"/>
  </si>
  <si>
    <t>방울토마토</t>
    <phoneticPr fontId="1" type="noConversion"/>
  </si>
  <si>
    <t>유자드레싱</t>
    <phoneticPr fontId="1" type="noConversion"/>
  </si>
  <si>
    <t>6봉</t>
    <phoneticPr fontId="1" type="noConversion"/>
  </si>
  <si>
    <t>목</t>
    <phoneticPr fontId="1" type="noConversion"/>
  </si>
  <si>
    <t>쇠고기무국</t>
    <phoneticPr fontId="1" type="noConversion"/>
  </si>
  <si>
    <t>우국거리</t>
    <phoneticPr fontId="1" type="noConversion"/>
  </si>
  <si>
    <t>오징어떡볶음</t>
    <phoneticPr fontId="1" type="noConversion"/>
  </si>
  <si>
    <t>연두부</t>
    <phoneticPr fontId="1" type="noConversion"/>
  </si>
  <si>
    <t>연두부/양념장</t>
    <phoneticPr fontId="1" type="noConversion"/>
  </si>
  <si>
    <t>오징어</t>
    <phoneticPr fontId="1" type="noConversion"/>
  </si>
  <si>
    <t>떡볶이떡</t>
    <phoneticPr fontId="1" type="noConversion"/>
  </si>
  <si>
    <t>서리태밥</t>
    <phoneticPr fontId="1" type="noConversion"/>
  </si>
  <si>
    <t>참치고추장찌개</t>
    <phoneticPr fontId="1" type="noConversion"/>
  </si>
  <si>
    <t>브로컬리파프리카초회/초장</t>
    <phoneticPr fontId="1" type="noConversion"/>
  </si>
  <si>
    <t>참치</t>
    <phoneticPr fontId="1" type="noConversion"/>
  </si>
  <si>
    <t>고추장</t>
    <phoneticPr fontId="1" type="noConversion"/>
  </si>
  <si>
    <t>당면</t>
    <phoneticPr fontId="1" type="noConversion"/>
  </si>
  <si>
    <t>홍고추</t>
    <phoneticPr fontId="1" type="noConversion"/>
  </si>
  <si>
    <t>브로컬리</t>
    <phoneticPr fontId="1" type="noConversion"/>
  </si>
  <si>
    <t>제육덮밥</t>
    <phoneticPr fontId="1" type="noConversion"/>
  </si>
  <si>
    <t>돈육불고기</t>
    <phoneticPr fontId="1" type="noConversion"/>
  </si>
  <si>
    <t>부들어묵</t>
    <phoneticPr fontId="1" type="noConversion"/>
  </si>
  <si>
    <t>금</t>
    <phoneticPr fontId="1" type="noConversion"/>
  </si>
  <si>
    <t>꽃게탕</t>
    <phoneticPr fontId="1" type="noConversion"/>
  </si>
  <si>
    <t>가자미구이</t>
    <phoneticPr fontId="1" type="noConversion"/>
  </si>
  <si>
    <t>꽃게</t>
    <phoneticPr fontId="1" type="noConversion"/>
  </si>
  <si>
    <t>두절콩나물</t>
    <phoneticPr fontId="1" type="noConversion"/>
  </si>
  <si>
    <t>대파</t>
    <phoneticPr fontId="1" type="noConversion"/>
  </si>
  <si>
    <t>가자미</t>
    <phoneticPr fontId="1" type="noConversion"/>
  </si>
  <si>
    <t>(대접)</t>
    <phoneticPr fontId="1" type="noConversion"/>
  </si>
  <si>
    <t>생면</t>
    <phoneticPr fontId="1" type="noConversion"/>
  </si>
  <si>
    <t>자장분말</t>
    <phoneticPr fontId="1" type="noConversion"/>
  </si>
  <si>
    <t>과일탕수육</t>
    <phoneticPr fontId="1" type="noConversion"/>
  </si>
  <si>
    <t>탕수육</t>
    <phoneticPr fontId="1" type="noConversion"/>
  </si>
  <si>
    <t>식용유</t>
    <phoneticPr fontId="1" type="noConversion"/>
  </si>
  <si>
    <t>후르츠칵테일</t>
    <phoneticPr fontId="1" type="noConversion"/>
  </si>
  <si>
    <t>사과</t>
    <phoneticPr fontId="1" type="noConversion"/>
  </si>
  <si>
    <t>단무지</t>
    <phoneticPr fontId="1" type="noConversion"/>
  </si>
  <si>
    <t>요구르트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</si>
  <si>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</si>
  <si>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</si>
  <si>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</si>
  <si>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대파</t>
    <phoneticPr fontId="1" type="noConversion"/>
  </si>
  <si>
    <t>닭갈비</t>
    <phoneticPr fontId="1" type="noConversion"/>
  </si>
  <si>
    <t>닭다리살</t>
    <phoneticPr fontId="1" type="noConversion"/>
  </si>
  <si>
    <t>가슴살</t>
    <phoneticPr fontId="1" type="noConversion"/>
  </si>
  <si>
    <t>토</t>
    <phoneticPr fontId="1" type="noConversion"/>
  </si>
  <si>
    <t>순두부찌개</t>
    <phoneticPr fontId="1" type="noConversion"/>
  </si>
  <si>
    <t>순두부</t>
    <phoneticPr fontId="1" type="noConversion"/>
  </si>
  <si>
    <t>계란</t>
    <phoneticPr fontId="1" type="noConversion"/>
  </si>
  <si>
    <t>돈육장조림</t>
    <phoneticPr fontId="1" type="noConversion"/>
  </si>
  <si>
    <t>가지나물</t>
    <phoneticPr fontId="1" type="noConversion"/>
  </si>
  <si>
    <t>가지</t>
    <phoneticPr fontId="1" type="noConversion"/>
  </si>
  <si>
    <t>도라지무침</t>
    <phoneticPr fontId="1" type="noConversion"/>
  </si>
  <si>
    <t>갈치</t>
    <phoneticPr fontId="1" type="noConversion"/>
  </si>
  <si>
    <t>도라지</t>
    <phoneticPr fontId="1" type="noConversion"/>
  </si>
  <si>
    <t>토</t>
    <phoneticPr fontId="1" type="noConversion"/>
  </si>
  <si>
    <t>검은콩밥</t>
    <phoneticPr fontId="1" type="noConversion"/>
  </si>
  <si>
    <t>열무된장국</t>
    <phoneticPr fontId="1" type="noConversion"/>
  </si>
  <si>
    <t>미트볼조림</t>
    <phoneticPr fontId="1" type="noConversion"/>
  </si>
  <si>
    <t>검은콩</t>
    <phoneticPr fontId="1" type="noConversion"/>
  </si>
  <si>
    <t>열무</t>
    <phoneticPr fontId="1" type="noConversion"/>
  </si>
  <si>
    <t>양파</t>
    <phoneticPr fontId="1" type="noConversion"/>
  </si>
  <si>
    <t>대파</t>
    <phoneticPr fontId="1" type="noConversion"/>
  </si>
  <si>
    <t>미트볼</t>
    <phoneticPr fontId="1" type="noConversion"/>
  </si>
  <si>
    <t>노랑파프리카</t>
    <phoneticPr fontId="1" type="noConversion"/>
  </si>
  <si>
    <t>마늘쫑건새우볶음</t>
    <phoneticPr fontId="1" type="noConversion"/>
  </si>
  <si>
    <t>마늘쫑</t>
    <phoneticPr fontId="1" type="noConversion"/>
  </si>
  <si>
    <t>건새우</t>
    <phoneticPr fontId="1" type="noConversion"/>
  </si>
  <si>
    <t>일</t>
    <phoneticPr fontId="1" type="noConversion"/>
  </si>
  <si>
    <t>우유</t>
    <phoneticPr fontId="1" type="noConversion"/>
  </si>
  <si>
    <t>콘후레이크</t>
    <phoneticPr fontId="1" type="noConversion"/>
  </si>
  <si>
    <t>케이준샐러드</t>
    <phoneticPr fontId="1" type="noConversion"/>
  </si>
  <si>
    <t>케이준</t>
    <phoneticPr fontId="1" type="noConversion"/>
  </si>
  <si>
    <t>양상추</t>
    <phoneticPr fontId="1" type="noConversion"/>
  </si>
  <si>
    <t>방울토마토</t>
    <phoneticPr fontId="1" type="noConversion"/>
  </si>
  <si>
    <t>옥수수캔</t>
    <phoneticPr fontId="1" type="noConversion"/>
  </si>
  <si>
    <t>사과</t>
    <phoneticPr fontId="1" type="noConversion"/>
  </si>
  <si>
    <t>콘후레이크</t>
    <phoneticPr fontId="1" type="noConversion"/>
  </si>
  <si>
    <t>차조밥</t>
    <phoneticPr fontId="1" type="noConversion"/>
  </si>
  <si>
    <t>차조</t>
    <phoneticPr fontId="1" type="noConversion"/>
  </si>
  <si>
    <t>닭개장</t>
    <phoneticPr fontId="1" type="noConversion"/>
  </si>
  <si>
    <t>볼어묵볶음</t>
    <phoneticPr fontId="1" type="noConversion"/>
  </si>
  <si>
    <t>시금치나물</t>
    <phoneticPr fontId="1" type="noConversion"/>
  </si>
  <si>
    <t>숙주</t>
    <phoneticPr fontId="1" type="noConversion"/>
  </si>
  <si>
    <t>무</t>
    <phoneticPr fontId="1" type="noConversion"/>
  </si>
  <si>
    <t>볼어묵</t>
    <phoneticPr fontId="1" type="noConversion"/>
  </si>
  <si>
    <t>당근</t>
    <phoneticPr fontId="1" type="noConversion"/>
  </si>
  <si>
    <t>시금치나물</t>
    <phoneticPr fontId="1" type="noConversion"/>
  </si>
  <si>
    <t>우불당면덮밥</t>
    <phoneticPr fontId="1" type="noConversion"/>
  </si>
  <si>
    <t>호박고추장국</t>
    <phoneticPr fontId="1" type="noConversion"/>
  </si>
  <si>
    <t>새알떡볶이</t>
    <phoneticPr fontId="1" type="noConversion"/>
  </si>
  <si>
    <t>새알옹심이</t>
    <phoneticPr fontId="1" type="noConversion"/>
  </si>
  <si>
    <t>떡볶이떡</t>
    <phoneticPr fontId="1" type="noConversion"/>
  </si>
  <si>
    <t>사각어묵</t>
    <phoneticPr fontId="1" type="noConversion"/>
  </si>
  <si>
    <t>우불고기</t>
    <phoneticPr fontId="1" type="noConversion"/>
  </si>
  <si>
    <t>양배추</t>
    <phoneticPr fontId="1" type="noConversion"/>
  </si>
  <si>
    <t>당면</t>
    <phoneticPr fontId="1" type="noConversion"/>
  </si>
  <si>
    <t>호박</t>
    <phoneticPr fontId="1" type="noConversion"/>
  </si>
  <si>
    <t>감자</t>
    <phoneticPr fontId="1" type="noConversion"/>
  </si>
  <si>
    <t>당근</t>
    <phoneticPr fontId="1" type="noConversion"/>
  </si>
  <si>
    <t>석식</t>
    <phoneticPr fontId="1" type="noConversion"/>
  </si>
  <si>
    <t>대파적당량</t>
    <phoneticPr fontId="1" type="noConversion"/>
  </si>
  <si>
    <t>대파</t>
    <phoneticPr fontId="1" type="noConversion"/>
  </si>
  <si>
    <t>김가루</t>
    <phoneticPr fontId="1" type="noConversion"/>
  </si>
  <si>
    <t>팽이버섯</t>
    <phoneticPr fontId="1" type="noConversion"/>
  </si>
  <si>
    <t>돈육장조림용(후지)</t>
    <phoneticPr fontId="1" type="noConversion"/>
  </si>
  <si>
    <t>적채</t>
    <phoneticPr fontId="1" type="noConversion"/>
  </si>
  <si>
    <t>두부</t>
    <phoneticPr fontId="1" type="noConversion"/>
  </si>
  <si>
    <t>감자/호박/양파 각</t>
    <phoneticPr fontId="1" type="noConversion"/>
  </si>
  <si>
    <t>스테이크소스</t>
    <phoneticPr fontId="1" type="noConversion"/>
  </si>
  <si>
    <t>2통</t>
    <phoneticPr fontId="1" type="noConversion"/>
  </si>
  <si>
    <t>260개</t>
    <phoneticPr fontId="1" type="noConversion"/>
  </si>
  <si>
    <t>260개</t>
    <phoneticPr fontId="1" type="noConversion"/>
  </si>
  <si>
    <t>계육통마리</t>
    <phoneticPr fontId="1" type="noConversion"/>
  </si>
  <si>
    <t>중식</t>
    <phoneticPr fontId="1" type="noConversion"/>
  </si>
  <si>
    <t>달걀</t>
    <phoneticPr fontId="1" type="noConversion"/>
  </si>
  <si>
    <t>고구마</t>
    <phoneticPr fontId="1" type="noConversion"/>
  </si>
  <si>
    <t>자장면</t>
    <phoneticPr fontId="1" type="noConversion"/>
  </si>
  <si>
    <t>돈육후지</t>
    <phoneticPr fontId="1" type="noConversion"/>
  </si>
  <si>
    <t>중식</t>
    <phoneticPr fontId="1" type="noConversion"/>
  </si>
  <si>
    <t>보리</t>
    <phoneticPr fontId="1" type="noConversion"/>
  </si>
  <si>
    <t>토</t>
    <phoneticPr fontId="1" type="noConversion"/>
  </si>
  <si>
    <t>중식</t>
    <phoneticPr fontId="1" type="noConversion"/>
  </si>
  <si>
    <t>10/5(일) 발주서</t>
    <phoneticPr fontId="1" type="noConversion"/>
  </si>
  <si>
    <t>닭가슴살카레볶음</t>
    <phoneticPr fontId="1" type="noConversion"/>
  </si>
  <si>
    <t>닭가슴살</t>
    <phoneticPr fontId="1" type="noConversion"/>
  </si>
  <si>
    <t>브로콜리</t>
    <phoneticPr fontId="1" type="noConversion"/>
  </si>
  <si>
    <t>카레가루</t>
    <phoneticPr fontId="1" type="noConversion"/>
  </si>
  <si>
    <t>사각으로</t>
    <phoneticPr fontId="1" type="noConversion"/>
  </si>
  <si>
    <t>배</t>
    <phoneticPr fontId="1" type="noConversion"/>
  </si>
  <si>
    <t>10/6(월) 발주서</t>
    <phoneticPr fontId="1" type="noConversion"/>
  </si>
  <si>
    <t>떡만두국</t>
    <phoneticPr fontId="1" type="noConversion"/>
  </si>
  <si>
    <t>떡</t>
    <phoneticPr fontId="1" type="noConversion"/>
  </si>
  <si>
    <t>달걀</t>
    <phoneticPr fontId="1" type="noConversion"/>
  </si>
  <si>
    <t>멕시칸샐러드</t>
    <phoneticPr fontId="1" type="noConversion"/>
  </si>
  <si>
    <t>치킨텐더스틱</t>
    <phoneticPr fontId="1" type="noConversion"/>
  </si>
  <si>
    <t>적채</t>
    <phoneticPr fontId="1" type="noConversion"/>
  </si>
  <si>
    <t>방울토마토</t>
    <phoneticPr fontId="1" type="noConversion"/>
  </si>
  <si>
    <t>옥수수캔</t>
    <phoneticPr fontId="1" type="noConversion"/>
  </si>
  <si>
    <t>머스터드소스</t>
    <phoneticPr fontId="1" type="noConversion"/>
  </si>
  <si>
    <t>무</t>
    <phoneticPr fontId="1" type="noConversion"/>
  </si>
  <si>
    <t>플레인요구르트</t>
    <phoneticPr fontId="1" type="noConversion"/>
  </si>
  <si>
    <t>230개</t>
    <phoneticPr fontId="1" type="noConversion"/>
  </si>
  <si>
    <t>우사태장조림</t>
    <phoneticPr fontId="1" type="noConversion"/>
  </si>
  <si>
    <t>노랑파프리카/양파 각</t>
    <phoneticPr fontId="1" type="noConversion"/>
  </si>
  <si>
    <t>양상추/양배추 각</t>
    <phoneticPr fontId="1" type="noConversion"/>
  </si>
  <si>
    <t>양배추/적채 각</t>
    <phoneticPr fontId="1" type="noConversion"/>
  </si>
  <si>
    <t>10/7(화) 발주서</t>
    <phoneticPr fontId="1" type="noConversion"/>
  </si>
  <si>
    <t>데미커리(바니르)</t>
    <phoneticPr fontId="1" type="noConversion"/>
  </si>
  <si>
    <t>부들어묵국</t>
    <phoneticPr fontId="1" type="noConversion"/>
  </si>
  <si>
    <t>허니아몬드</t>
    <phoneticPr fontId="1" type="noConversion"/>
  </si>
  <si>
    <t>호박볶음</t>
    <phoneticPr fontId="1" type="noConversion"/>
  </si>
  <si>
    <t>10/8(수) 발주서</t>
    <phoneticPr fontId="1" type="noConversion"/>
  </si>
  <si>
    <t>미역장국</t>
    <phoneticPr fontId="1" type="noConversion"/>
  </si>
  <si>
    <t>된장</t>
    <phoneticPr fontId="1" type="noConversion"/>
  </si>
  <si>
    <t>200개</t>
    <phoneticPr fontId="1" type="noConversion"/>
  </si>
  <si>
    <t>중식</t>
    <phoneticPr fontId="1" type="noConversion"/>
  </si>
  <si>
    <t>서리태</t>
    <phoneticPr fontId="1" type="noConversion"/>
  </si>
  <si>
    <t>안동찜닭</t>
    <phoneticPr fontId="1" type="noConversion"/>
  </si>
  <si>
    <t>닭도리육</t>
    <phoneticPr fontId="1" type="noConversion"/>
  </si>
  <si>
    <t>당근</t>
    <phoneticPr fontId="1" type="noConversion"/>
  </si>
  <si>
    <t>빨강/노랑파프리카 각</t>
    <phoneticPr fontId="1" type="noConversion"/>
  </si>
  <si>
    <t>10/9(목) 발주서</t>
    <phoneticPr fontId="1" type="noConversion"/>
  </si>
  <si>
    <t>4봉</t>
    <phoneticPr fontId="1" type="noConversion"/>
  </si>
  <si>
    <t>콩나물무채국</t>
    <phoneticPr fontId="1" type="noConversion"/>
  </si>
  <si>
    <t>마카로니샐러드</t>
    <phoneticPr fontId="1" type="noConversion"/>
  </si>
  <si>
    <t>마카로니</t>
    <phoneticPr fontId="1" type="noConversion"/>
  </si>
  <si>
    <t>맛살</t>
    <phoneticPr fontId="1" type="noConversion"/>
  </si>
  <si>
    <t>쵸핑햄</t>
    <phoneticPr fontId="1" type="noConversion"/>
  </si>
  <si>
    <t>옥수수캔</t>
    <phoneticPr fontId="1" type="noConversion"/>
  </si>
  <si>
    <t>건포도</t>
    <phoneticPr fontId="1" type="noConversion"/>
  </si>
  <si>
    <t>마요네즈</t>
    <phoneticPr fontId="1" type="noConversion"/>
  </si>
  <si>
    <t>감자볶음</t>
    <phoneticPr fontId="1" type="noConversion"/>
  </si>
  <si>
    <t>당근/양파 각</t>
    <phoneticPr fontId="1" type="noConversion"/>
  </si>
  <si>
    <t>오이/당근 각</t>
    <phoneticPr fontId="1" type="noConversion"/>
  </si>
  <si>
    <t>400개</t>
    <phoneticPr fontId="1" type="noConversion"/>
  </si>
  <si>
    <t>10/10(금) 발주서</t>
    <phoneticPr fontId="1" type="noConversion"/>
  </si>
  <si>
    <t>고기찐만두/양념간장</t>
    <phoneticPr fontId="1" type="noConversion"/>
  </si>
  <si>
    <t>고기찐만두</t>
    <phoneticPr fontId="1" type="noConversion"/>
  </si>
  <si>
    <t>쇠고기파국</t>
    <phoneticPr fontId="1" type="noConversion"/>
  </si>
  <si>
    <t>우둔</t>
    <phoneticPr fontId="1" type="noConversion"/>
  </si>
  <si>
    <t>갈치감자조림</t>
    <phoneticPr fontId="1" type="noConversion"/>
  </si>
  <si>
    <t>양파</t>
    <phoneticPr fontId="1" type="noConversion"/>
  </si>
  <si>
    <t>10/11(토) 발주서</t>
    <phoneticPr fontId="1" type="noConversion"/>
  </si>
  <si>
    <t>카스텔라</t>
    <phoneticPr fontId="1" type="noConversion"/>
  </si>
  <si>
    <t>케이준드레싱</t>
    <phoneticPr fontId="1" type="noConversion"/>
  </si>
  <si>
    <t>야채튀김</t>
    <phoneticPr fontId="1" type="noConversion"/>
  </si>
  <si>
    <t>식용유</t>
    <phoneticPr fontId="1" type="noConversion"/>
  </si>
  <si>
    <t>대파적당량</t>
    <phoneticPr fontId="1" type="noConversion"/>
  </si>
  <si>
    <t>해물볶음우동</t>
    <phoneticPr fontId="1" type="noConversion"/>
  </si>
  <si>
    <t>우동면</t>
    <phoneticPr fontId="1" type="noConversion"/>
  </si>
  <si>
    <t>노랑,빨강파프리카</t>
    <phoneticPr fontId="1" type="noConversion"/>
  </si>
  <si>
    <t>굴소스</t>
    <phoneticPr fontId="1" type="noConversion"/>
  </si>
  <si>
    <t>홍합살/새우 각</t>
    <phoneticPr fontId="1" type="noConversion"/>
  </si>
  <si>
    <t>적채/양파 각</t>
    <phoneticPr fontId="1" type="noConversion"/>
  </si>
  <si>
    <t>팽이버섯/느타리버섯 각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</si>
</sst>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kg&quot;"/>
    <numFmt numFmtId="178" formatCode="General\ &quot;g&quot;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7" fontId="0" fillId="0" borderId="1" xfId="0" applyNumberFormat="1" applyBorder="1"/>
    <xf numFmtId="177" fontId="0" fillId="0" borderId="1" xfId="0" applyNumberFormat="1" applyBorder="1" applyAlignment="1">
      <alignment horizontal="right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78" fontId="0" fillId="2" borderId="1" xfId="0" applyNumberFormat="1" applyFill="1" applyBorder="1"/>
    <xf numFmtId="178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78" fontId="0" fillId="2" borderId="1" xfId="0" applyNumberFormat="1" applyFill="1" applyBorder="1" applyAlignment="1">
      <alignment horizontal="center"/>
    </xf>
    <xf numFmtId="177" fontId="0" fillId="2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77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>
      <selection activeCell="C16" sqref="C16"/>
    </sheetView>
  </sheetViews>
  <sheetFormatPr defaultRowHeight="16.5"/>
  <cols>
    <col min="1" max="1" width="6.75" customWidth="1"/>
    <col min="2" max="2" width="7" customWidth="1"/>
    <col min="3" max="3" width="15.25" customWidth="1"/>
    <col min="4" max="4" width="12.75" customWidth="1"/>
    <col min="5" max="5" width="8.75" customWidth="1"/>
    <col min="6" max="6" width="11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5" t="s">
        <v>247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8" t="s">
        <v>21</v>
      </c>
      <c r="F2" s="4" t="s">
        <v>6</v>
      </c>
      <c r="G2" s="4" t="s">
        <v>7</v>
      </c>
      <c r="H2" s="4"/>
      <c r="I2" s="4"/>
    </row>
    <row r="3" spans="1:9">
      <c r="A3" s="3">
        <v>41918</v>
      </c>
      <c r="B3" s="4">
        <v>180</v>
      </c>
      <c r="C3" s="4" t="s">
        <v>22</v>
      </c>
      <c r="D3" s="4" t="s">
        <v>24</v>
      </c>
      <c r="E3" s="7">
        <v>50</v>
      </c>
      <c r="F3" s="5">
        <f>(B3*E3)/1000</f>
        <v>9</v>
      </c>
      <c r="G3" s="1"/>
      <c r="H3" s="1"/>
      <c r="I3" s="1"/>
    </row>
    <row r="4" spans="1:9">
      <c r="A4" s="4" t="s">
        <v>1</v>
      </c>
      <c r="B4" s="27">
        <v>180</v>
      </c>
      <c r="C4" s="4"/>
      <c r="D4" s="4" t="s">
        <v>25</v>
      </c>
      <c r="E4" s="7">
        <v>25</v>
      </c>
      <c r="F4" s="5">
        <f t="shared" ref="F4:F14" si="0">(B4*E4)/1000</f>
        <v>4.5</v>
      </c>
      <c r="G4" s="1"/>
      <c r="H4" s="1"/>
      <c r="I4" s="1"/>
    </row>
    <row r="5" spans="1:9">
      <c r="A5" s="4" t="s">
        <v>2</v>
      </c>
      <c r="B5" s="27">
        <v>180</v>
      </c>
      <c r="C5" s="4"/>
      <c r="D5" s="4" t="s">
        <v>26</v>
      </c>
      <c r="E5" s="7">
        <v>2</v>
      </c>
      <c r="F5" s="5">
        <f t="shared" si="0"/>
        <v>0.36</v>
      </c>
      <c r="G5" s="1"/>
      <c r="H5" s="1"/>
      <c r="I5" s="1"/>
    </row>
    <row r="6" spans="1:9">
      <c r="A6" s="27"/>
      <c r="B6" s="27">
        <v>180</v>
      </c>
      <c r="C6" s="27" t="s">
        <v>248</v>
      </c>
      <c r="D6" s="27" t="s">
        <v>249</v>
      </c>
      <c r="E6" s="7">
        <v>100</v>
      </c>
      <c r="F6" s="5">
        <f t="shared" si="0"/>
        <v>18</v>
      </c>
      <c r="G6" s="1" t="s">
        <v>252</v>
      </c>
      <c r="H6" s="1"/>
      <c r="I6" s="1"/>
    </row>
    <row r="7" spans="1:9">
      <c r="A7" s="27"/>
      <c r="B7" s="27">
        <v>180</v>
      </c>
      <c r="C7" s="27"/>
      <c r="D7" s="27" t="s">
        <v>250</v>
      </c>
      <c r="E7" s="7">
        <v>20</v>
      </c>
      <c r="F7" s="5">
        <f t="shared" si="0"/>
        <v>3.6</v>
      </c>
      <c r="G7" s="1"/>
      <c r="H7" s="1"/>
      <c r="I7" s="1"/>
    </row>
    <row r="8" spans="1:9">
      <c r="A8" s="27"/>
      <c r="B8" s="27">
        <v>180</v>
      </c>
      <c r="C8" s="27"/>
      <c r="D8" s="27" t="s">
        <v>10</v>
      </c>
      <c r="E8" s="7">
        <v>10</v>
      </c>
      <c r="F8" s="5">
        <f t="shared" si="0"/>
        <v>1.8</v>
      </c>
      <c r="G8" s="1"/>
      <c r="H8" s="1"/>
      <c r="I8" s="1"/>
    </row>
    <row r="9" spans="1:9">
      <c r="A9" s="27"/>
      <c r="B9" s="27">
        <v>180</v>
      </c>
      <c r="C9" s="27"/>
      <c r="D9" s="27" t="s">
        <v>251</v>
      </c>
      <c r="E9" s="7">
        <v>20</v>
      </c>
      <c r="F9" s="5">
        <f t="shared" si="0"/>
        <v>3.6</v>
      </c>
      <c r="G9" s="1"/>
      <c r="H9" s="1"/>
      <c r="I9" s="1"/>
    </row>
    <row r="10" spans="1:9">
      <c r="A10" s="1"/>
      <c r="B10" s="27">
        <v>180</v>
      </c>
      <c r="C10" s="4" t="s">
        <v>23</v>
      </c>
      <c r="D10" s="4" t="s">
        <v>27</v>
      </c>
      <c r="E10" s="7">
        <v>5</v>
      </c>
      <c r="F10" s="5">
        <f t="shared" si="0"/>
        <v>0.9</v>
      </c>
      <c r="G10" s="1"/>
      <c r="H10" s="1"/>
      <c r="I10" s="1"/>
    </row>
    <row r="11" spans="1:9">
      <c r="A11" s="1"/>
      <c r="B11" s="27">
        <v>180</v>
      </c>
      <c r="C11" s="4"/>
      <c r="D11" s="4" t="s">
        <v>28</v>
      </c>
      <c r="E11" s="7">
        <v>5</v>
      </c>
      <c r="F11" s="5">
        <f t="shared" si="0"/>
        <v>0.9</v>
      </c>
      <c r="G11" s="1"/>
      <c r="H11" s="1"/>
      <c r="I11" s="1"/>
    </row>
    <row r="12" spans="1:9">
      <c r="A12" s="1"/>
      <c r="B12" s="27">
        <v>180</v>
      </c>
      <c r="C12" s="4"/>
      <c r="D12" s="4" t="s">
        <v>29</v>
      </c>
      <c r="E12" s="7">
        <v>10</v>
      </c>
      <c r="F12" s="5">
        <f t="shared" si="0"/>
        <v>1.8</v>
      </c>
      <c r="G12" s="1"/>
      <c r="H12" s="1"/>
      <c r="I12" s="1"/>
    </row>
    <row r="13" spans="1:9">
      <c r="A13" s="1"/>
      <c r="B13" s="27">
        <v>180</v>
      </c>
      <c r="C13" s="27" t="s">
        <v>8</v>
      </c>
      <c r="D13" s="27" t="s">
        <v>8</v>
      </c>
      <c r="E13" s="7">
        <v>40</v>
      </c>
      <c r="F13" s="5">
        <f t="shared" si="0"/>
        <v>7.2</v>
      </c>
      <c r="G13" s="1"/>
      <c r="H13" s="1"/>
      <c r="I13" s="1"/>
    </row>
    <row r="14" spans="1:9">
      <c r="A14" s="1"/>
      <c r="B14" s="27">
        <v>180</v>
      </c>
      <c r="C14" s="27" t="s">
        <v>253</v>
      </c>
      <c r="D14" s="27" t="s">
        <v>253</v>
      </c>
      <c r="E14" s="7">
        <v>100</v>
      </c>
      <c r="F14" s="5">
        <f t="shared" si="0"/>
        <v>18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41918</v>
      </c>
      <c r="B16" s="4">
        <v>480</v>
      </c>
      <c r="C16" s="4" t="s">
        <v>19</v>
      </c>
      <c r="D16" s="4" t="s">
        <v>20</v>
      </c>
      <c r="E16" s="7">
        <v>2</v>
      </c>
      <c r="F16" s="5">
        <f>(B16*E16)/1000</f>
        <v>0.96</v>
      </c>
      <c r="G16" s="1"/>
      <c r="H16" s="1"/>
      <c r="I16" s="1"/>
    </row>
    <row r="17" spans="1:9">
      <c r="A17" s="4" t="s">
        <v>1</v>
      </c>
      <c r="B17" s="8">
        <v>480</v>
      </c>
      <c r="C17" s="4" t="s">
        <v>32</v>
      </c>
      <c r="D17" s="4" t="s">
        <v>36</v>
      </c>
      <c r="E17" s="7">
        <v>25</v>
      </c>
      <c r="F17" s="5">
        <f t="shared" ref="F17:F27" si="1">(B17*E17)/1000</f>
        <v>12</v>
      </c>
      <c r="G17" s="1"/>
      <c r="H17" s="1"/>
      <c r="I17" s="1"/>
    </row>
    <row r="18" spans="1:9">
      <c r="A18" s="4" t="s">
        <v>9</v>
      </c>
      <c r="B18" s="8">
        <v>480</v>
      </c>
      <c r="C18" s="4"/>
      <c r="D18" s="4" t="s">
        <v>37</v>
      </c>
      <c r="E18" s="7">
        <v>5</v>
      </c>
      <c r="F18" s="5">
        <f t="shared" si="1"/>
        <v>2.4</v>
      </c>
      <c r="G18" s="1"/>
      <c r="H18" s="1"/>
      <c r="I18" s="1"/>
    </row>
    <row r="19" spans="1:9">
      <c r="A19" s="1"/>
      <c r="B19" s="8">
        <v>480</v>
      </c>
      <c r="C19" s="4"/>
      <c r="D19" s="4" t="s">
        <v>38</v>
      </c>
      <c r="E19" s="7">
        <v>2</v>
      </c>
      <c r="F19" s="5">
        <f t="shared" si="1"/>
        <v>0.96</v>
      </c>
      <c r="G19" s="1"/>
      <c r="H19" s="1"/>
      <c r="I19" s="1"/>
    </row>
    <row r="20" spans="1:9">
      <c r="A20" s="1"/>
      <c r="B20" s="8">
        <v>480</v>
      </c>
      <c r="C20" s="4" t="s">
        <v>33</v>
      </c>
      <c r="D20" s="4" t="s">
        <v>39</v>
      </c>
      <c r="E20" s="7">
        <v>40</v>
      </c>
      <c r="F20" s="5">
        <f t="shared" si="1"/>
        <v>19.2</v>
      </c>
      <c r="G20" s="1"/>
      <c r="H20" s="1"/>
      <c r="I20" s="1"/>
    </row>
    <row r="21" spans="1:9">
      <c r="A21" s="1"/>
      <c r="B21" s="8">
        <v>480</v>
      </c>
      <c r="C21" s="4"/>
      <c r="D21" s="4" t="s">
        <v>40</v>
      </c>
      <c r="E21" s="7">
        <v>150</v>
      </c>
      <c r="F21" s="5">
        <f t="shared" si="1"/>
        <v>72</v>
      </c>
      <c r="G21" s="1"/>
      <c r="H21" s="1"/>
      <c r="I21" s="1"/>
    </row>
    <row r="22" spans="1:9">
      <c r="A22" s="1"/>
      <c r="B22" s="8">
        <v>480</v>
      </c>
      <c r="C22" s="4"/>
      <c r="D22" s="4" t="s">
        <v>37</v>
      </c>
      <c r="E22" s="7">
        <v>20</v>
      </c>
      <c r="F22" s="5">
        <f t="shared" si="1"/>
        <v>9.6</v>
      </c>
      <c r="G22" s="1"/>
      <c r="H22" s="1"/>
      <c r="I22" s="1"/>
    </row>
    <row r="23" spans="1:9">
      <c r="A23" s="1"/>
      <c r="B23" s="19">
        <v>480</v>
      </c>
      <c r="C23" s="19"/>
      <c r="D23" s="19" t="s">
        <v>223</v>
      </c>
      <c r="E23" s="7">
        <v>5</v>
      </c>
      <c r="F23" s="5">
        <f t="shared" si="1"/>
        <v>2.4</v>
      </c>
      <c r="G23" s="1"/>
      <c r="H23" s="1"/>
      <c r="I23" s="1"/>
    </row>
    <row r="24" spans="1:9">
      <c r="A24" s="1"/>
      <c r="B24" s="8">
        <v>480</v>
      </c>
      <c r="C24" s="4"/>
      <c r="D24" s="4" t="s">
        <v>38</v>
      </c>
      <c r="E24" s="7">
        <v>2</v>
      </c>
      <c r="F24" s="5">
        <f t="shared" si="1"/>
        <v>0.96</v>
      </c>
      <c r="G24" s="1"/>
      <c r="H24" s="1"/>
      <c r="I24" s="1"/>
    </row>
    <row r="25" spans="1:9">
      <c r="A25" s="1"/>
      <c r="B25" s="8">
        <v>480</v>
      </c>
      <c r="C25" s="4" t="s">
        <v>34</v>
      </c>
      <c r="D25" s="4" t="s">
        <v>41</v>
      </c>
      <c r="E25" s="7">
        <v>60</v>
      </c>
      <c r="F25" s="5">
        <f t="shared" si="1"/>
        <v>28.8</v>
      </c>
      <c r="G25" s="1"/>
      <c r="H25" s="1"/>
      <c r="I25" s="1"/>
    </row>
    <row r="26" spans="1:9">
      <c r="A26" s="1"/>
      <c r="B26" s="8">
        <v>480</v>
      </c>
      <c r="C26" s="4"/>
      <c r="D26" s="4" t="s">
        <v>42</v>
      </c>
      <c r="E26" s="7"/>
      <c r="F26" s="5">
        <f t="shared" si="1"/>
        <v>0</v>
      </c>
      <c r="G26" s="1"/>
      <c r="H26" s="1"/>
      <c r="I26" s="1"/>
    </row>
    <row r="27" spans="1:9">
      <c r="A27" s="1"/>
      <c r="B27" s="8">
        <v>480</v>
      </c>
      <c r="C27" s="4" t="s">
        <v>35</v>
      </c>
      <c r="D27" s="4" t="s">
        <v>43</v>
      </c>
      <c r="E27" s="7">
        <v>40</v>
      </c>
      <c r="F27" s="5">
        <f t="shared" si="1"/>
        <v>19.2</v>
      </c>
      <c r="G27" s="1"/>
      <c r="H27" s="1"/>
      <c r="I27" s="1"/>
    </row>
    <row r="28" spans="1:9">
      <c r="A28" s="2"/>
      <c r="B28" s="2"/>
      <c r="C28" s="2"/>
      <c r="D28" s="2"/>
      <c r="E28" s="2"/>
      <c r="F28" s="2"/>
      <c r="G28" s="2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1"/>
      <c r="B36" s="1"/>
      <c r="C36" s="1"/>
      <c r="D36" s="1"/>
      <c r="E36" s="1"/>
      <c r="F36" s="1"/>
      <c r="G36" s="1"/>
      <c r="H36" s="1"/>
      <c r="I36" s="1"/>
    </row>
    <row r="37" spans="1:9">
      <c r="A37" s="1"/>
      <c r="B37" s="1"/>
      <c r="C37" s="1"/>
      <c r="D37" s="1"/>
      <c r="E37" s="1"/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G42" sqref="G42"/>
    </sheetView>
  </sheetViews>
  <sheetFormatPr defaultRowHeight="16.5"/>
  <cols>
    <col min="1" max="1" width="5.25" customWidth="1"/>
    <col min="2" max="2" width="5.75" customWidth="1"/>
    <col min="3" max="3" width="17" customWidth="1"/>
    <col min="4" max="4" width="15.75" customWidth="1"/>
    <col min="5" max="5" width="8.875" customWidth="1"/>
    <col min="6" max="6" width="9.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5" t="s">
        <v>254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8" t="s">
        <v>21</v>
      </c>
      <c r="F2" s="4" t="s">
        <v>6</v>
      </c>
      <c r="G2" s="4" t="s">
        <v>7</v>
      </c>
      <c r="H2" s="4"/>
      <c r="I2" s="4"/>
    </row>
    <row r="3" spans="1:9">
      <c r="A3" s="3">
        <v>41918</v>
      </c>
      <c r="B3" s="4">
        <v>450</v>
      </c>
      <c r="C3" s="4" t="s">
        <v>44</v>
      </c>
      <c r="D3" s="4" t="s">
        <v>46</v>
      </c>
      <c r="E3" s="7">
        <v>2</v>
      </c>
      <c r="F3" s="5">
        <f>(B3*E3)/1000</f>
        <v>0.9</v>
      </c>
      <c r="G3" s="1"/>
      <c r="H3" s="1"/>
      <c r="I3" s="1"/>
    </row>
    <row r="4" spans="1:9">
      <c r="A4" s="4" t="s">
        <v>1</v>
      </c>
      <c r="B4" s="28">
        <v>450</v>
      </c>
      <c r="C4" s="28" t="s">
        <v>255</v>
      </c>
      <c r="D4" s="28" t="s">
        <v>256</v>
      </c>
      <c r="E4" s="7">
        <v>20</v>
      </c>
      <c r="F4" s="5">
        <f t="shared" ref="F4:F17" si="0">(B4*E4)/1000</f>
        <v>9</v>
      </c>
      <c r="G4" s="1"/>
      <c r="H4" s="1"/>
      <c r="I4" s="1"/>
    </row>
    <row r="5" spans="1:9">
      <c r="A5" s="1" t="s">
        <v>224</v>
      </c>
      <c r="B5" s="28">
        <v>450</v>
      </c>
      <c r="C5" s="4"/>
      <c r="D5" s="28" t="s">
        <v>47</v>
      </c>
      <c r="E5" s="7">
        <v>50</v>
      </c>
      <c r="F5" s="5">
        <f t="shared" si="0"/>
        <v>22.5</v>
      </c>
      <c r="G5" s="1"/>
      <c r="H5" s="1"/>
      <c r="I5" s="1"/>
    </row>
    <row r="6" spans="1:9">
      <c r="A6" s="1"/>
      <c r="B6" s="28">
        <v>450</v>
      </c>
      <c r="C6" s="28"/>
      <c r="D6" s="28" t="s">
        <v>257</v>
      </c>
      <c r="E6" s="7">
        <v>5</v>
      </c>
      <c r="F6" s="5">
        <f t="shared" si="0"/>
        <v>2.25</v>
      </c>
      <c r="G6" s="1"/>
      <c r="H6" s="1"/>
      <c r="I6" s="1"/>
    </row>
    <row r="7" spans="1:9">
      <c r="A7" s="1"/>
      <c r="B7" s="28">
        <v>450</v>
      </c>
      <c r="C7" s="4" t="s">
        <v>45</v>
      </c>
      <c r="D7" s="4" t="s">
        <v>48</v>
      </c>
      <c r="E7" s="7">
        <v>130</v>
      </c>
      <c r="F7" s="5">
        <f t="shared" si="0"/>
        <v>58.5</v>
      </c>
      <c r="G7" s="1"/>
      <c r="H7" s="1"/>
      <c r="I7" s="1"/>
    </row>
    <row r="8" spans="1:9">
      <c r="A8" s="1"/>
      <c r="B8" s="28">
        <v>450</v>
      </c>
      <c r="C8" s="4"/>
      <c r="D8" s="20" t="s">
        <v>149</v>
      </c>
      <c r="E8" s="7">
        <v>60</v>
      </c>
      <c r="F8" s="5">
        <f t="shared" si="0"/>
        <v>27</v>
      </c>
      <c r="G8" s="1"/>
      <c r="H8" s="1"/>
      <c r="I8" s="1"/>
    </row>
    <row r="9" spans="1:9">
      <c r="A9" s="1"/>
      <c r="B9" s="28">
        <v>450</v>
      </c>
      <c r="C9" s="4"/>
      <c r="D9" s="4" t="s">
        <v>49</v>
      </c>
      <c r="E9" s="7">
        <v>20</v>
      </c>
      <c r="F9" s="5">
        <f t="shared" si="0"/>
        <v>9</v>
      </c>
      <c r="G9" s="1"/>
      <c r="H9" s="1"/>
      <c r="I9" s="1"/>
    </row>
    <row r="10" spans="1:9">
      <c r="A10" s="1"/>
      <c r="B10" s="28">
        <v>450</v>
      </c>
      <c r="C10" s="4"/>
      <c r="D10" s="4" t="s">
        <v>37</v>
      </c>
      <c r="E10" s="7">
        <v>10</v>
      </c>
      <c r="F10" s="5">
        <f t="shared" si="0"/>
        <v>4.5</v>
      </c>
      <c r="G10" s="1" t="s">
        <v>225</v>
      </c>
      <c r="H10" s="1"/>
      <c r="I10" s="1"/>
    </row>
    <row r="11" spans="1:9">
      <c r="A11" s="1"/>
      <c r="B11" s="28">
        <v>450</v>
      </c>
      <c r="C11" s="28" t="s">
        <v>258</v>
      </c>
      <c r="D11" s="28" t="s">
        <v>259</v>
      </c>
      <c r="E11" s="7">
        <v>65</v>
      </c>
      <c r="F11" s="5">
        <f t="shared" si="0"/>
        <v>29.25</v>
      </c>
      <c r="G11" s="1"/>
      <c r="H11" s="1"/>
      <c r="I11" s="1"/>
    </row>
    <row r="12" spans="1:9">
      <c r="A12" s="1"/>
      <c r="B12" s="28">
        <v>450</v>
      </c>
      <c r="C12" s="4"/>
      <c r="D12" s="28" t="s">
        <v>269</v>
      </c>
      <c r="E12" s="7">
        <v>20</v>
      </c>
      <c r="F12" s="5">
        <f t="shared" si="0"/>
        <v>9</v>
      </c>
      <c r="G12" s="1"/>
      <c r="H12" s="1"/>
      <c r="I12" s="1"/>
    </row>
    <row r="13" spans="1:9">
      <c r="A13" s="1"/>
      <c r="B13" s="28">
        <v>450</v>
      </c>
      <c r="C13" s="28"/>
      <c r="D13" s="28" t="s">
        <v>260</v>
      </c>
      <c r="E13" s="7">
        <v>20</v>
      </c>
      <c r="F13" s="5">
        <f t="shared" si="0"/>
        <v>9</v>
      </c>
      <c r="G13" s="1"/>
      <c r="H13" s="1"/>
      <c r="I13" s="1"/>
    </row>
    <row r="14" spans="1:9">
      <c r="A14" s="1"/>
      <c r="B14" s="28">
        <v>450</v>
      </c>
      <c r="C14" s="28"/>
      <c r="D14" s="28" t="s">
        <v>261</v>
      </c>
      <c r="E14" s="7">
        <v>10</v>
      </c>
      <c r="F14" s="5">
        <f t="shared" si="0"/>
        <v>4.5</v>
      </c>
      <c r="G14" s="1"/>
      <c r="H14" s="1"/>
      <c r="I14" s="1"/>
    </row>
    <row r="15" spans="1:9">
      <c r="A15" s="1"/>
      <c r="B15" s="28">
        <v>450</v>
      </c>
      <c r="C15" s="28"/>
      <c r="D15" s="28" t="s">
        <v>262</v>
      </c>
      <c r="E15" s="7">
        <v>20</v>
      </c>
      <c r="F15" s="5">
        <f t="shared" si="0"/>
        <v>9</v>
      </c>
      <c r="G15" s="1"/>
      <c r="H15" s="1"/>
      <c r="I15" s="1"/>
    </row>
    <row r="16" spans="1:9">
      <c r="A16" s="1"/>
      <c r="B16" s="28">
        <v>450</v>
      </c>
      <c r="C16" s="4"/>
      <c r="D16" s="28" t="s">
        <v>263</v>
      </c>
      <c r="E16" s="7">
        <v>30</v>
      </c>
      <c r="F16" s="5">
        <f t="shared" si="0"/>
        <v>13.5</v>
      </c>
      <c r="G16" s="1"/>
      <c r="H16" s="1"/>
      <c r="I16" s="1"/>
    </row>
    <row r="17" spans="1:9">
      <c r="A17" s="1"/>
      <c r="B17" s="28">
        <v>450</v>
      </c>
      <c r="C17" s="28" t="s">
        <v>35</v>
      </c>
      <c r="D17" s="28" t="s">
        <v>35</v>
      </c>
      <c r="E17" s="7">
        <v>40</v>
      </c>
      <c r="F17" s="5">
        <f t="shared" si="0"/>
        <v>18</v>
      </c>
      <c r="G17" s="1"/>
      <c r="H17" s="1"/>
      <c r="I17" s="1"/>
    </row>
    <row r="18" spans="1:9">
      <c r="A18" s="2"/>
      <c r="B18" s="2"/>
      <c r="C18" s="2"/>
      <c r="D18" s="2"/>
      <c r="E18" s="10"/>
      <c r="F18" s="2"/>
      <c r="G18" s="2"/>
      <c r="H18" s="1"/>
      <c r="I18" s="1"/>
    </row>
    <row r="19" spans="1:9">
      <c r="A19" s="3">
        <v>41919</v>
      </c>
      <c r="B19" s="4">
        <v>230</v>
      </c>
      <c r="C19" s="4" t="s">
        <v>50</v>
      </c>
      <c r="D19" s="4" t="s">
        <v>55</v>
      </c>
      <c r="E19" s="7">
        <v>35</v>
      </c>
      <c r="F19" s="5">
        <f>(B19*E19)/1000</f>
        <v>8.0500000000000007</v>
      </c>
      <c r="G19" s="1"/>
      <c r="H19" s="1"/>
      <c r="I19" s="1"/>
    </row>
    <row r="20" spans="1:9">
      <c r="A20" s="4" t="s">
        <v>14</v>
      </c>
      <c r="B20" s="28">
        <v>230</v>
      </c>
      <c r="C20" s="4"/>
      <c r="D20" s="4" t="s">
        <v>53</v>
      </c>
      <c r="E20" s="7">
        <v>25</v>
      </c>
      <c r="F20" s="5">
        <f t="shared" ref="F20:F28" si="1">(B20*E20)/1000</f>
        <v>5.75</v>
      </c>
      <c r="G20" s="1"/>
      <c r="H20" s="1"/>
      <c r="I20" s="1"/>
    </row>
    <row r="21" spans="1:9">
      <c r="A21" s="4" t="s">
        <v>2</v>
      </c>
      <c r="B21" s="28">
        <v>230</v>
      </c>
      <c r="C21" s="4"/>
      <c r="D21" s="9" t="s">
        <v>87</v>
      </c>
      <c r="E21" s="7">
        <v>10</v>
      </c>
      <c r="F21" s="5">
        <f t="shared" si="1"/>
        <v>2.2999999999999998</v>
      </c>
      <c r="G21" s="1"/>
      <c r="H21" s="1"/>
      <c r="I21" s="1"/>
    </row>
    <row r="22" spans="1:9">
      <c r="A22" s="1"/>
      <c r="B22" s="28">
        <v>230</v>
      </c>
      <c r="C22" s="4"/>
      <c r="D22" s="4" t="s">
        <v>56</v>
      </c>
      <c r="E22" s="7">
        <v>2</v>
      </c>
      <c r="F22" s="5">
        <f t="shared" si="1"/>
        <v>0.46</v>
      </c>
      <c r="G22" s="1" t="s">
        <v>15</v>
      </c>
      <c r="H22" s="1"/>
      <c r="I22" s="1"/>
    </row>
    <row r="23" spans="1:9">
      <c r="A23" s="1"/>
      <c r="B23" s="28">
        <v>230</v>
      </c>
      <c r="C23" s="4" t="s">
        <v>13</v>
      </c>
      <c r="D23" s="4" t="s">
        <v>57</v>
      </c>
      <c r="E23" s="7">
        <v>100</v>
      </c>
      <c r="F23" s="5">
        <f t="shared" si="1"/>
        <v>23</v>
      </c>
      <c r="G23" s="1"/>
      <c r="H23" s="1"/>
      <c r="I23" s="1"/>
    </row>
    <row r="24" spans="1:9">
      <c r="A24" s="1"/>
      <c r="B24" s="28">
        <v>230</v>
      </c>
      <c r="C24" s="4"/>
      <c r="D24" s="9" t="s">
        <v>112</v>
      </c>
      <c r="E24" s="7">
        <v>10</v>
      </c>
      <c r="F24" s="5">
        <f t="shared" si="1"/>
        <v>2.2999999999999998</v>
      </c>
      <c r="G24" s="1" t="s">
        <v>15</v>
      </c>
      <c r="H24" s="1"/>
      <c r="I24" s="1"/>
    </row>
    <row r="25" spans="1:9">
      <c r="A25" s="1"/>
      <c r="B25" s="28">
        <v>230</v>
      </c>
      <c r="C25" s="4" t="s">
        <v>51</v>
      </c>
      <c r="D25" s="4" t="s">
        <v>52</v>
      </c>
      <c r="E25" s="7">
        <v>30</v>
      </c>
      <c r="F25" s="5">
        <f t="shared" si="1"/>
        <v>6.9</v>
      </c>
      <c r="G25" s="1"/>
      <c r="H25" s="1"/>
      <c r="I25" s="1"/>
    </row>
    <row r="26" spans="1:9">
      <c r="A26" s="1"/>
      <c r="B26" s="28">
        <v>230</v>
      </c>
      <c r="C26" s="28"/>
      <c r="D26" s="28" t="s">
        <v>264</v>
      </c>
      <c r="E26" s="7">
        <v>50</v>
      </c>
      <c r="F26" s="5">
        <f t="shared" si="1"/>
        <v>11.5</v>
      </c>
      <c r="G26" s="1"/>
      <c r="H26" s="1"/>
      <c r="I26" s="1"/>
    </row>
    <row r="27" spans="1:9">
      <c r="A27" s="1"/>
      <c r="B27" s="28">
        <v>230</v>
      </c>
      <c r="C27" s="4"/>
      <c r="D27" s="4" t="s">
        <v>54</v>
      </c>
      <c r="E27" s="7">
        <v>2</v>
      </c>
      <c r="F27" s="5">
        <f t="shared" si="1"/>
        <v>0.46</v>
      </c>
      <c r="G27" s="1"/>
      <c r="H27" s="1"/>
      <c r="I27" s="1"/>
    </row>
    <row r="28" spans="1:9">
      <c r="A28" s="1"/>
      <c r="B28" s="28">
        <v>230</v>
      </c>
      <c r="C28" s="28" t="s">
        <v>35</v>
      </c>
      <c r="D28" s="28" t="s">
        <v>35</v>
      </c>
      <c r="E28" s="7">
        <v>40</v>
      </c>
      <c r="F28" s="5">
        <f t="shared" si="1"/>
        <v>9.1999999999999993</v>
      </c>
      <c r="G28" s="1"/>
      <c r="H28" s="1"/>
      <c r="I28" s="1"/>
    </row>
    <row r="29" spans="1:9">
      <c r="A29" s="1"/>
      <c r="B29" s="28">
        <v>230</v>
      </c>
      <c r="C29" s="28" t="s">
        <v>265</v>
      </c>
      <c r="D29" s="28" t="s">
        <v>265</v>
      </c>
      <c r="E29" s="7">
        <v>65</v>
      </c>
      <c r="F29" s="6" t="s">
        <v>266</v>
      </c>
      <c r="G29" s="1"/>
      <c r="H29" s="1"/>
      <c r="I29" s="1"/>
    </row>
    <row r="30" spans="1:9">
      <c r="A30" s="2"/>
      <c r="B30" s="2"/>
      <c r="C30" s="2"/>
      <c r="D30" s="2"/>
      <c r="E30" s="10"/>
      <c r="F30" s="2"/>
      <c r="G30" s="2"/>
      <c r="H30" s="1"/>
      <c r="I30" s="1"/>
    </row>
    <row r="31" spans="1:9">
      <c r="A31" s="3">
        <v>41919</v>
      </c>
      <c r="B31" s="8">
        <v>450</v>
      </c>
      <c r="C31" s="8" t="s">
        <v>58</v>
      </c>
      <c r="D31" s="8" t="s">
        <v>63</v>
      </c>
      <c r="E31" s="11">
        <v>2</v>
      </c>
      <c r="F31" s="5">
        <f>(B31*E31)/1000</f>
        <v>0.9</v>
      </c>
      <c r="G31" s="1"/>
      <c r="H31" s="1"/>
      <c r="I31" s="1"/>
    </row>
    <row r="32" spans="1:9">
      <c r="A32" s="4" t="s">
        <v>14</v>
      </c>
      <c r="B32" s="8">
        <v>480</v>
      </c>
      <c r="C32" s="8" t="s">
        <v>59</v>
      </c>
      <c r="D32" s="8" t="s">
        <v>64</v>
      </c>
      <c r="E32" s="11">
        <v>20</v>
      </c>
      <c r="F32" s="5">
        <f t="shared" ref="F32:F43" si="2">(B32*E32)/1000</f>
        <v>9.6</v>
      </c>
      <c r="G32" s="1"/>
      <c r="H32" s="1"/>
      <c r="I32" s="1"/>
    </row>
    <row r="33" spans="1:9">
      <c r="A33" s="4" t="s">
        <v>9</v>
      </c>
      <c r="B33" s="8">
        <v>480</v>
      </c>
      <c r="C33" s="8"/>
      <c r="D33" s="28" t="s">
        <v>94</v>
      </c>
      <c r="E33" s="11">
        <v>15</v>
      </c>
      <c r="F33" s="5">
        <f t="shared" si="2"/>
        <v>7.2</v>
      </c>
      <c r="G33" s="1" t="s">
        <v>16</v>
      </c>
      <c r="H33" s="1"/>
      <c r="I33" s="1"/>
    </row>
    <row r="34" spans="1:9">
      <c r="A34" s="1"/>
      <c r="B34" s="8">
        <v>480</v>
      </c>
      <c r="C34" s="8"/>
      <c r="D34" s="8" t="s">
        <v>65</v>
      </c>
      <c r="E34" s="11">
        <v>15</v>
      </c>
      <c r="F34" s="5">
        <f t="shared" si="2"/>
        <v>7.2</v>
      </c>
      <c r="G34" s="1"/>
      <c r="H34" s="1"/>
      <c r="I34" s="1"/>
    </row>
    <row r="35" spans="1:9">
      <c r="A35" s="1"/>
      <c r="B35" s="8">
        <v>480</v>
      </c>
      <c r="C35" s="8"/>
      <c r="D35" s="9" t="s">
        <v>110</v>
      </c>
      <c r="E35" s="11">
        <v>10</v>
      </c>
      <c r="F35" s="5">
        <f t="shared" si="2"/>
        <v>4.8</v>
      </c>
      <c r="G35" s="1"/>
      <c r="H35" s="1"/>
      <c r="I35" s="1"/>
    </row>
    <row r="36" spans="1:9">
      <c r="A36" s="1"/>
      <c r="B36" s="8">
        <v>480</v>
      </c>
      <c r="C36" s="8"/>
      <c r="D36" s="9" t="s">
        <v>30</v>
      </c>
      <c r="E36" s="11">
        <v>20</v>
      </c>
      <c r="F36" s="5">
        <f t="shared" si="2"/>
        <v>9.6</v>
      </c>
      <c r="G36" s="1"/>
      <c r="H36" s="1"/>
      <c r="I36" s="1"/>
    </row>
    <row r="37" spans="1:9">
      <c r="A37" s="1"/>
      <c r="B37" s="8">
        <v>480</v>
      </c>
      <c r="C37" s="8" t="s">
        <v>60</v>
      </c>
      <c r="D37" s="28" t="s">
        <v>267</v>
      </c>
      <c r="E37" s="11">
        <v>120</v>
      </c>
      <c r="F37" s="5">
        <f t="shared" si="2"/>
        <v>57.6</v>
      </c>
      <c r="G37" s="1"/>
      <c r="H37" s="1"/>
      <c r="I37" s="1"/>
    </row>
    <row r="38" spans="1:9">
      <c r="A38" s="1"/>
      <c r="B38" s="8">
        <v>480</v>
      </c>
      <c r="C38" s="8"/>
      <c r="D38" s="8" t="s">
        <v>67</v>
      </c>
      <c r="E38" s="11">
        <v>50</v>
      </c>
      <c r="F38" s="5">
        <f t="shared" si="2"/>
        <v>24</v>
      </c>
      <c r="G38" s="1"/>
      <c r="H38" s="1"/>
      <c r="I38" s="1"/>
    </row>
    <row r="39" spans="1:9">
      <c r="A39" s="1"/>
      <c r="B39" s="8">
        <v>480</v>
      </c>
      <c r="C39" s="8"/>
      <c r="D39" s="8" t="s">
        <v>68</v>
      </c>
      <c r="E39" s="11">
        <v>2</v>
      </c>
      <c r="F39" s="5">
        <f t="shared" si="2"/>
        <v>0.96</v>
      </c>
      <c r="G39" s="1"/>
      <c r="H39" s="1"/>
      <c r="I39" s="1"/>
    </row>
    <row r="40" spans="1:9">
      <c r="A40" s="1"/>
      <c r="B40" s="8">
        <v>480</v>
      </c>
      <c r="C40" s="8" t="s">
        <v>61</v>
      </c>
      <c r="D40" s="8" t="s">
        <v>69</v>
      </c>
      <c r="E40" s="11">
        <v>100</v>
      </c>
      <c r="F40" s="5">
        <f t="shared" si="2"/>
        <v>48</v>
      </c>
      <c r="G40" s="1"/>
      <c r="H40" s="1"/>
      <c r="I40" s="1"/>
    </row>
    <row r="41" spans="1:9">
      <c r="A41" s="1"/>
      <c r="B41" s="8">
        <v>480</v>
      </c>
      <c r="C41" s="8"/>
      <c r="D41" s="28" t="s">
        <v>270</v>
      </c>
      <c r="E41" s="11">
        <v>10</v>
      </c>
      <c r="F41" s="5">
        <f t="shared" si="2"/>
        <v>4.8</v>
      </c>
      <c r="G41" s="1"/>
      <c r="H41" s="1"/>
      <c r="I41" s="1"/>
    </row>
    <row r="42" spans="1:9">
      <c r="A42" s="1"/>
      <c r="B42" s="8">
        <v>480</v>
      </c>
      <c r="C42" s="8"/>
      <c r="D42" s="30" t="s">
        <v>268</v>
      </c>
      <c r="E42" s="11">
        <v>5</v>
      </c>
      <c r="F42" s="5">
        <f t="shared" si="2"/>
        <v>2.4</v>
      </c>
      <c r="G42" s="1"/>
      <c r="H42" s="1"/>
      <c r="I42" s="1"/>
    </row>
    <row r="43" spans="1:9">
      <c r="A43" s="1"/>
      <c r="B43" s="8">
        <v>480</v>
      </c>
      <c r="C43" s="8" t="s">
        <v>62</v>
      </c>
      <c r="D43" s="8" t="s">
        <v>70</v>
      </c>
      <c r="E43" s="11">
        <v>40</v>
      </c>
      <c r="F43" s="5">
        <f t="shared" si="2"/>
        <v>19.2</v>
      </c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0" workbookViewId="0">
      <selection activeCell="D24" sqref="D24"/>
    </sheetView>
  </sheetViews>
  <sheetFormatPr defaultRowHeight="16.5"/>
  <cols>
    <col min="1" max="1" width="5.5" customWidth="1"/>
    <col min="2" max="2" width="6" customWidth="1"/>
    <col min="3" max="3" width="17.625" customWidth="1"/>
    <col min="4" max="4" width="14.5" customWidth="1"/>
    <col min="5" max="5" width="7.5" customWidth="1"/>
    <col min="6" max="6" width="7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5" t="s">
        <v>271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4" t="s">
        <v>0</v>
      </c>
      <c r="B2" s="4" t="s">
        <v>3</v>
      </c>
      <c r="C2" s="4" t="s">
        <v>4</v>
      </c>
      <c r="D2" s="4" t="s">
        <v>5</v>
      </c>
      <c r="E2" s="4" t="s">
        <v>17</v>
      </c>
      <c r="F2" s="4" t="s">
        <v>6</v>
      </c>
      <c r="G2" s="4" t="s">
        <v>7</v>
      </c>
      <c r="H2" s="4"/>
      <c r="I2" s="4"/>
    </row>
    <row r="3" spans="1:9">
      <c r="A3" s="3">
        <v>41919</v>
      </c>
      <c r="B3" s="4">
        <v>500</v>
      </c>
      <c r="C3" s="4" t="s">
        <v>73</v>
      </c>
      <c r="D3" s="29" t="s">
        <v>272</v>
      </c>
      <c r="E3" s="7">
        <v>20</v>
      </c>
      <c r="F3" s="5">
        <f>(B3*E3)/1000</f>
        <v>10</v>
      </c>
      <c r="G3" s="1"/>
      <c r="H3" s="1"/>
      <c r="I3" s="1"/>
    </row>
    <row r="4" spans="1:9">
      <c r="A4" s="4" t="s">
        <v>71</v>
      </c>
      <c r="B4" s="8">
        <v>500</v>
      </c>
      <c r="C4" s="4"/>
      <c r="D4" s="4" t="s">
        <v>30</v>
      </c>
      <c r="E4" s="7">
        <v>20</v>
      </c>
      <c r="F4" s="6">
        <f>(B4*E4)/1000</f>
        <v>10</v>
      </c>
      <c r="G4" s="1"/>
      <c r="H4" s="1"/>
      <c r="I4" s="1"/>
    </row>
    <row r="5" spans="1:9">
      <c r="A5" s="4" t="s">
        <v>72</v>
      </c>
      <c r="B5" s="8">
        <v>500</v>
      </c>
      <c r="C5" s="4"/>
      <c r="D5" s="4" t="s">
        <v>66</v>
      </c>
      <c r="E5" s="7">
        <v>20</v>
      </c>
      <c r="F5" s="6">
        <f t="shared" ref="F5:F16" si="0">(B5*E5)/1000</f>
        <v>10</v>
      </c>
      <c r="G5" s="1"/>
      <c r="H5" s="1"/>
      <c r="I5" s="1"/>
    </row>
    <row r="6" spans="1:9">
      <c r="A6" s="4"/>
      <c r="B6" s="8">
        <v>500</v>
      </c>
      <c r="C6" s="4"/>
      <c r="D6" s="4" t="s">
        <v>37</v>
      </c>
      <c r="E6" s="7">
        <v>20</v>
      </c>
      <c r="F6" s="6">
        <f t="shared" si="0"/>
        <v>10</v>
      </c>
      <c r="G6" s="1"/>
      <c r="H6" s="1"/>
      <c r="I6" s="1"/>
    </row>
    <row r="7" spans="1:9">
      <c r="A7" s="1"/>
      <c r="B7" s="8">
        <v>500</v>
      </c>
      <c r="C7" s="4"/>
      <c r="D7" s="4" t="s">
        <v>74</v>
      </c>
      <c r="E7" s="7">
        <v>20</v>
      </c>
      <c r="F7" s="6">
        <f t="shared" si="0"/>
        <v>10</v>
      </c>
      <c r="G7" s="1"/>
      <c r="H7" s="1"/>
      <c r="I7" s="1"/>
    </row>
    <row r="8" spans="1:9">
      <c r="A8" s="1"/>
      <c r="B8" s="8">
        <v>500</v>
      </c>
      <c r="C8" s="29" t="s">
        <v>273</v>
      </c>
      <c r="D8" s="29" t="s">
        <v>144</v>
      </c>
      <c r="E8" s="7">
        <v>20</v>
      </c>
      <c r="F8" s="6">
        <f t="shared" si="0"/>
        <v>10</v>
      </c>
      <c r="G8" s="1"/>
      <c r="H8" s="1"/>
      <c r="I8" s="1"/>
    </row>
    <row r="9" spans="1:9">
      <c r="A9" s="1"/>
      <c r="B9" s="8">
        <v>500</v>
      </c>
      <c r="C9" s="8"/>
      <c r="D9" s="29" t="s">
        <v>12</v>
      </c>
      <c r="E9" s="7">
        <v>10</v>
      </c>
      <c r="F9" s="6">
        <f t="shared" si="0"/>
        <v>5</v>
      </c>
      <c r="G9" s="1"/>
      <c r="H9" s="1"/>
      <c r="I9" s="1"/>
    </row>
    <row r="10" spans="1:9">
      <c r="A10" s="1"/>
      <c r="B10" s="8">
        <v>500</v>
      </c>
      <c r="C10" s="8"/>
      <c r="D10" s="8" t="s">
        <v>75</v>
      </c>
      <c r="E10" s="7">
        <v>5</v>
      </c>
      <c r="F10" s="6">
        <f t="shared" si="0"/>
        <v>2.5</v>
      </c>
      <c r="G10" s="1"/>
      <c r="H10" s="1"/>
      <c r="I10" s="1"/>
    </row>
    <row r="11" spans="1:9">
      <c r="A11" s="1"/>
      <c r="B11" s="8">
        <v>500</v>
      </c>
      <c r="C11" s="33" t="s">
        <v>313</v>
      </c>
      <c r="D11" s="33" t="s">
        <v>314</v>
      </c>
      <c r="E11" s="7">
        <v>80</v>
      </c>
      <c r="F11" s="6">
        <f t="shared" si="0"/>
        <v>40</v>
      </c>
      <c r="G11" s="1"/>
      <c r="H11" s="1"/>
      <c r="I11" s="1"/>
    </row>
    <row r="12" spans="1:9">
      <c r="A12" s="1"/>
      <c r="B12" s="32">
        <v>500</v>
      </c>
      <c r="C12" s="32"/>
      <c r="D12" s="33" t="s">
        <v>317</v>
      </c>
      <c r="E12" s="7">
        <v>20</v>
      </c>
      <c r="F12" s="6">
        <f t="shared" si="0"/>
        <v>10</v>
      </c>
      <c r="G12" s="1"/>
      <c r="H12" s="1"/>
      <c r="I12" s="1"/>
    </row>
    <row r="13" spans="1:9">
      <c r="A13" s="1"/>
      <c r="B13" s="32">
        <v>500</v>
      </c>
      <c r="C13" s="32"/>
      <c r="D13" s="34" t="s">
        <v>315</v>
      </c>
      <c r="E13" s="7">
        <v>10</v>
      </c>
      <c r="F13" s="6">
        <f t="shared" si="0"/>
        <v>5</v>
      </c>
      <c r="G13" s="1"/>
      <c r="H13" s="1"/>
      <c r="I13" s="1"/>
    </row>
    <row r="14" spans="1:9">
      <c r="A14" s="1"/>
      <c r="B14" s="32">
        <v>500</v>
      </c>
      <c r="C14" s="32"/>
      <c r="D14" s="33" t="s">
        <v>318</v>
      </c>
      <c r="E14" s="7">
        <v>10</v>
      </c>
      <c r="F14" s="6">
        <f t="shared" si="0"/>
        <v>5</v>
      </c>
      <c r="G14" s="1"/>
      <c r="H14" s="1"/>
      <c r="I14" s="1"/>
    </row>
    <row r="15" spans="1:9">
      <c r="A15" s="1"/>
      <c r="B15" s="33">
        <v>500</v>
      </c>
      <c r="C15" s="33"/>
      <c r="D15" s="33" t="s">
        <v>316</v>
      </c>
      <c r="E15" s="7">
        <v>20</v>
      </c>
      <c r="F15" s="6">
        <f t="shared" si="0"/>
        <v>10</v>
      </c>
      <c r="G15" s="1"/>
      <c r="H15" s="1"/>
      <c r="I15" s="1"/>
    </row>
    <row r="16" spans="1:9">
      <c r="A16" s="1"/>
      <c r="B16" s="8">
        <v>500</v>
      </c>
      <c r="C16" s="29" t="s">
        <v>8</v>
      </c>
      <c r="D16" s="29" t="s">
        <v>8</v>
      </c>
      <c r="E16" s="7">
        <v>40</v>
      </c>
      <c r="F16" s="6">
        <f t="shared" si="0"/>
        <v>20</v>
      </c>
      <c r="G16" s="1"/>
      <c r="H16" s="1"/>
      <c r="I16" s="1"/>
    </row>
    <row r="17" spans="1:9">
      <c r="A17" s="1"/>
      <c r="B17" s="8">
        <v>500</v>
      </c>
      <c r="C17" s="29" t="s">
        <v>161</v>
      </c>
      <c r="D17" s="29" t="s">
        <v>161</v>
      </c>
      <c r="E17" s="7">
        <v>60</v>
      </c>
      <c r="F17" s="6" t="s">
        <v>76</v>
      </c>
      <c r="G17" s="1"/>
      <c r="H17" s="1"/>
      <c r="I17" s="1"/>
    </row>
    <row r="18" spans="1:9">
      <c r="A18" s="2"/>
      <c r="B18" s="2"/>
      <c r="C18" s="2"/>
      <c r="D18" s="2"/>
      <c r="E18" s="2"/>
      <c r="F18" s="2"/>
      <c r="G18" s="2"/>
      <c r="H18" s="1"/>
      <c r="I18" s="1"/>
    </row>
    <row r="19" spans="1:9">
      <c r="A19" s="3">
        <v>41920</v>
      </c>
      <c r="B19" s="4">
        <v>250</v>
      </c>
      <c r="C19" s="4" t="s">
        <v>79</v>
      </c>
      <c r="D19" s="4" t="s">
        <v>82</v>
      </c>
      <c r="E19" s="7">
        <v>30</v>
      </c>
      <c r="F19" s="5">
        <f>(B19*E19)/1000</f>
        <v>7.5</v>
      </c>
      <c r="G19" s="1"/>
      <c r="H19" s="1"/>
      <c r="I19" s="1"/>
    </row>
    <row r="20" spans="1:9">
      <c r="A20" s="4" t="s">
        <v>77</v>
      </c>
      <c r="B20" s="29">
        <v>250</v>
      </c>
      <c r="C20" s="4"/>
      <c r="D20" s="4" t="s">
        <v>83</v>
      </c>
      <c r="E20" s="7">
        <v>2</v>
      </c>
      <c r="F20" s="5">
        <f t="shared" ref="F20:F28" si="1">(B20*E20)/1000</f>
        <v>0.5</v>
      </c>
      <c r="G20" s="1"/>
      <c r="H20" s="1"/>
      <c r="I20" s="1"/>
    </row>
    <row r="21" spans="1:9">
      <c r="A21" s="4" t="s">
        <v>78</v>
      </c>
      <c r="B21" s="29">
        <v>250</v>
      </c>
      <c r="C21" s="4" t="s">
        <v>80</v>
      </c>
      <c r="D21" s="4" t="s">
        <v>84</v>
      </c>
      <c r="E21" s="7">
        <v>100</v>
      </c>
      <c r="F21" s="5">
        <f t="shared" si="1"/>
        <v>25</v>
      </c>
      <c r="G21" s="1"/>
      <c r="H21" s="1"/>
      <c r="I21" s="1"/>
    </row>
    <row r="22" spans="1:9">
      <c r="A22" s="1"/>
      <c r="B22" s="29">
        <v>250</v>
      </c>
      <c r="C22" s="4"/>
      <c r="D22" s="14" t="s">
        <v>319</v>
      </c>
      <c r="E22" s="7">
        <v>20</v>
      </c>
      <c r="F22" s="5">
        <f t="shared" si="1"/>
        <v>5</v>
      </c>
      <c r="G22" s="1" t="s">
        <v>15</v>
      </c>
      <c r="H22" s="1"/>
      <c r="I22" s="1"/>
    </row>
    <row r="23" spans="1:9">
      <c r="A23" s="1"/>
      <c r="B23" s="29">
        <v>250</v>
      </c>
      <c r="C23" s="4"/>
      <c r="D23" s="4" t="s">
        <v>41</v>
      </c>
      <c r="E23" s="7">
        <v>25</v>
      </c>
      <c r="F23" s="5">
        <f t="shared" si="1"/>
        <v>6.25</v>
      </c>
      <c r="G23" s="1"/>
      <c r="H23" s="1"/>
      <c r="I23" s="1"/>
    </row>
    <row r="24" spans="1:9">
      <c r="A24" s="1"/>
      <c r="B24" s="29">
        <v>250</v>
      </c>
      <c r="C24" s="4"/>
      <c r="D24" s="4" t="s">
        <v>37</v>
      </c>
      <c r="E24" s="7">
        <v>20</v>
      </c>
      <c r="F24" s="5">
        <f t="shared" si="1"/>
        <v>5</v>
      </c>
      <c r="G24" s="1"/>
      <c r="H24" s="1"/>
      <c r="I24" s="1"/>
    </row>
    <row r="25" spans="1:9">
      <c r="A25" s="1"/>
      <c r="B25" s="29">
        <v>250</v>
      </c>
      <c r="C25" s="4"/>
      <c r="D25" s="4" t="s">
        <v>86</v>
      </c>
      <c r="E25" s="7">
        <v>5</v>
      </c>
      <c r="F25" s="5">
        <f t="shared" si="1"/>
        <v>1.25</v>
      </c>
      <c r="G25" s="1"/>
      <c r="H25" s="1"/>
      <c r="I25" s="1"/>
    </row>
    <row r="26" spans="1:9">
      <c r="A26" s="1"/>
      <c r="B26" s="29">
        <v>250</v>
      </c>
      <c r="C26" s="4" t="s">
        <v>81</v>
      </c>
      <c r="D26" s="4" t="s">
        <v>87</v>
      </c>
      <c r="E26" s="7">
        <v>50</v>
      </c>
      <c r="F26" s="5">
        <f t="shared" si="1"/>
        <v>12.5</v>
      </c>
      <c r="G26" s="1" t="s">
        <v>15</v>
      </c>
      <c r="H26" s="1"/>
      <c r="I26" s="1"/>
    </row>
    <row r="27" spans="1:9">
      <c r="A27" s="1"/>
      <c r="B27" s="29">
        <v>250</v>
      </c>
      <c r="C27" s="4"/>
      <c r="D27" s="4" t="s">
        <v>18</v>
      </c>
      <c r="E27" s="7">
        <v>2</v>
      </c>
      <c r="F27" s="5">
        <f t="shared" si="1"/>
        <v>0.5</v>
      </c>
      <c r="G27" s="1"/>
      <c r="H27" s="1"/>
      <c r="I27" s="1"/>
    </row>
    <row r="28" spans="1:9">
      <c r="A28" s="1"/>
      <c r="B28" s="29">
        <v>250</v>
      </c>
      <c r="C28" s="29" t="s">
        <v>8</v>
      </c>
      <c r="D28" s="29" t="s">
        <v>8</v>
      </c>
      <c r="E28" s="7">
        <v>40</v>
      </c>
      <c r="F28" s="5">
        <f t="shared" si="1"/>
        <v>10</v>
      </c>
      <c r="G28" s="1"/>
      <c r="H28" s="1"/>
      <c r="I28" s="1"/>
    </row>
    <row r="29" spans="1:9">
      <c r="A29" s="1"/>
      <c r="B29" s="29">
        <v>250</v>
      </c>
      <c r="C29" s="29" t="s">
        <v>274</v>
      </c>
      <c r="D29" s="29" t="s">
        <v>274</v>
      </c>
      <c r="E29" s="7">
        <v>20</v>
      </c>
      <c r="F29" s="6" t="s">
        <v>88</v>
      </c>
      <c r="G29" s="1"/>
      <c r="H29" s="1"/>
      <c r="I29" s="1"/>
    </row>
    <row r="30" spans="1:9">
      <c r="A30" s="2"/>
      <c r="B30" s="2"/>
      <c r="C30" s="2"/>
      <c r="D30" s="2"/>
      <c r="E30" s="2"/>
      <c r="F30" s="2"/>
      <c r="G30" s="2"/>
      <c r="H30" s="1"/>
      <c r="I30" s="1"/>
    </row>
    <row r="31" spans="1:9">
      <c r="A31" s="3">
        <v>41920</v>
      </c>
      <c r="B31" s="8">
        <v>400</v>
      </c>
      <c r="C31" s="8" t="s">
        <v>91</v>
      </c>
      <c r="D31" s="8" t="s">
        <v>97</v>
      </c>
      <c r="E31" s="7">
        <v>2</v>
      </c>
      <c r="F31" s="5">
        <f>(B31*E31)/1000</f>
        <v>0.8</v>
      </c>
      <c r="G31" s="1"/>
      <c r="H31" s="1"/>
      <c r="I31" s="1"/>
    </row>
    <row r="32" spans="1:9">
      <c r="A32" s="4" t="s">
        <v>89</v>
      </c>
      <c r="B32" s="29">
        <v>400</v>
      </c>
      <c r="C32" s="8" t="s">
        <v>92</v>
      </c>
      <c r="D32" s="8" t="s">
        <v>98</v>
      </c>
      <c r="E32" s="7">
        <v>30</v>
      </c>
      <c r="F32" s="5">
        <f t="shared" ref="F32:F43" si="2">(B32*E32)/1000</f>
        <v>12</v>
      </c>
      <c r="G32" s="1"/>
      <c r="H32" s="1"/>
      <c r="I32" s="1"/>
    </row>
    <row r="33" spans="1:9">
      <c r="A33" s="4" t="s">
        <v>90</v>
      </c>
      <c r="B33" s="29">
        <v>400</v>
      </c>
      <c r="C33" s="8"/>
      <c r="D33" s="8" t="s">
        <v>99</v>
      </c>
      <c r="E33" s="7">
        <v>25</v>
      </c>
      <c r="F33" s="5">
        <f t="shared" si="2"/>
        <v>10</v>
      </c>
      <c r="G33" s="1"/>
      <c r="H33" s="1"/>
      <c r="I33" s="1"/>
    </row>
    <row r="34" spans="1:9">
      <c r="A34" s="1"/>
      <c r="B34" s="29">
        <v>400</v>
      </c>
      <c r="C34" s="8"/>
      <c r="D34" s="8" t="s">
        <v>100</v>
      </c>
      <c r="E34" s="7">
        <v>20</v>
      </c>
      <c r="F34" s="5">
        <f t="shared" si="2"/>
        <v>8</v>
      </c>
      <c r="G34" s="1"/>
      <c r="H34" s="1"/>
      <c r="I34" s="1"/>
    </row>
    <row r="35" spans="1:9">
      <c r="A35" s="1"/>
      <c r="B35" s="29">
        <v>400</v>
      </c>
      <c r="C35" s="8"/>
      <c r="D35" s="8" t="s">
        <v>101</v>
      </c>
      <c r="E35" s="7">
        <v>10</v>
      </c>
      <c r="F35" s="5">
        <f t="shared" si="2"/>
        <v>4</v>
      </c>
      <c r="G35" s="1"/>
      <c r="H35" s="1"/>
      <c r="I35" s="1"/>
    </row>
    <row r="36" spans="1:9">
      <c r="A36" s="1"/>
      <c r="B36" s="29">
        <v>400</v>
      </c>
      <c r="C36" s="8"/>
      <c r="D36" s="8" t="s">
        <v>31</v>
      </c>
      <c r="E36" s="7">
        <v>10</v>
      </c>
      <c r="F36" s="5">
        <f t="shared" si="2"/>
        <v>4</v>
      </c>
      <c r="G36" s="1" t="s">
        <v>312</v>
      </c>
      <c r="H36" s="1"/>
      <c r="I36" s="1"/>
    </row>
    <row r="37" spans="1:9">
      <c r="A37" s="1"/>
      <c r="B37" s="29">
        <v>400</v>
      </c>
      <c r="C37" s="8"/>
      <c r="D37" s="8" t="s">
        <v>102</v>
      </c>
      <c r="E37" s="7">
        <v>10</v>
      </c>
      <c r="F37" s="5">
        <f t="shared" si="2"/>
        <v>4</v>
      </c>
      <c r="G37" s="1"/>
      <c r="H37" s="1"/>
      <c r="I37" s="1"/>
    </row>
    <row r="38" spans="1:9">
      <c r="A38" s="1"/>
      <c r="B38" s="29">
        <v>400</v>
      </c>
      <c r="C38" s="8"/>
      <c r="D38" s="8" t="s">
        <v>75</v>
      </c>
      <c r="E38" s="7">
        <v>1</v>
      </c>
      <c r="F38" s="5">
        <f t="shared" si="2"/>
        <v>0.4</v>
      </c>
      <c r="G38" s="1"/>
      <c r="H38" s="1"/>
      <c r="I38" s="1"/>
    </row>
    <row r="39" spans="1:9">
      <c r="A39" s="1"/>
      <c r="B39" s="29">
        <v>400</v>
      </c>
      <c r="C39" s="8" t="s">
        <v>93</v>
      </c>
      <c r="D39" s="8" t="s">
        <v>103</v>
      </c>
      <c r="E39" s="7">
        <v>100</v>
      </c>
      <c r="F39" s="5">
        <f t="shared" si="2"/>
        <v>40</v>
      </c>
      <c r="G39" s="1"/>
      <c r="H39" s="1"/>
      <c r="I39" s="1"/>
    </row>
    <row r="40" spans="1:9">
      <c r="A40" s="1"/>
      <c r="B40" s="29">
        <v>400</v>
      </c>
      <c r="C40" s="8"/>
      <c r="D40" s="8" t="s">
        <v>104</v>
      </c>
      <c r="E40" s="7">
        <v>30</v>
      </c>
      <c r="F40" s="5">
        <f t="shared" si="2"/>
        <v>12</v>
      </c>
      <c r="G40" s="1"/>
      <c r="H40" s="1"/>
      <c r="I40" s="1"/>
    </row>
    <row r="41" spans="1:9">
      <c r="A41" s="1"/>
      <c r="B41" s="29">
        <v>400</v>
      </c>
      <c r="C41" s="29" t="s">
        <v>275</v>
      </c>
      <c r="D41" s="29" t="s">
        <v>66</v>
      </c>
      <c r="E41" s="7">
        <v>60</v>
      </c>
      <c r="F41" s="5">
        <f t="shared" si="2"/>
        <v>24</v>
      </c>
      <c r="G41" s="1"/>
      <c r="H41" s="1"/>
      <c r="I41" s="1"/>
    </row>
    <row r="42" spans="1:9">
      <c r="A42" s="1"/>
      <c r="B42" s="29">
        <v>400</v>
      </c>
      <c r="C42" s="8"/>
      <c r="D42" s="29" t="s">
        <v>10</v>
      </c>
      <c r="E42" s="7">
        <v>10</v>
      </c>
      <c r="F42" s="5">
        <f t="shared" si="2"/>
        <v>4</v>
      </c>
      <c r="G42" s="1"/>
      <c r="H42" s="1"/>
      <c r="I42" s="1"/>
    </row>
    <row r="43" spans="1:9">
      <c r="A43" s="1"/>
      <c r="B43" s="29">
        <v>400</v>
      </c>
      <c r="C43" s="8" t="s">
        <v>96</v>
      </c>
      <c r="D43" s="8" t="s">
        <v>105</v>
      </c>
      <c r="E43" s="7">
        <v>40</v>
      </c>
      <c r="F43" s="5">
        <f t="shared" si="2"/>
        <v>16</v>
      </c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0"/>
  <sheetViews>
    <sheetView topLeftCell="A13" workbookViewId="0">
      <selection activeCell="F40" sqref="F40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5" t="s">
        <v>276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9" t="s">
        <v>0</v>
      </c>
      <c r="B2" s="9" t="s">
        <v>3</v>
      </c>
      <c r="C2" s="9" t="s">
        <v>4</v>
      </c>
      <c r="D2" s="9" t="s">
        <v>5</v>
      </c>
      <c r="E2" s="9" t="s">
        <v>17</v>
      </c>
      <c r="F2" s="9" t="s">
        <v>6</v>
      </c>
      <c r="G2" s="9" t="s">
        <v>7</v>
      </c>
      <c r="H2" s="9"/>
      <c r="I2" s="9"/>
    </row>
    <row r="3" spans="1:9">
      <c r="A3" s="3">
        <v>41920</v>
      </c>
      <c r="B3" s="9">
        <v>500</v>
      </c>
      <c r="C3" s="9" t="s">
        <v>108</v>
      </c>
      <c r="D3" s="9" t="s">
        <v>109</v>
      </c>
      <c r="E3" s="7">
        <v>2</v>
      </c>
      <c r="F3" s="5">
        <f>(B3*E3)/1000</f>
        <v>1</v>
      </c>
      <c r="G3" s="1"/>
      <c r="H3" s="1"/>
      <c r="I3" s="1"/>
    </row>
    <row r="4" spans="1:9">
      <c r="A4" s="9" t="s">
        <v>77</v>
      </c>
      <c r="B4" s="9">
        <v>500</v>
      </c>
      <c r="C4" s="29" t="s">
        <v>277</v>
      </c>
      <c r="D4" s="9" t="s">
        <v>113</v>
      </c>
      <c r="E4" s="7">
        <v>2</v>
      </c>
      <c r="F4" s="6">
        <f>(B4*E4)/1000</f>
        <v>1</v>
      </c>
      <c r="G4" s="1" t="s">
        <v>125</v>
      </c>
      <c r="H4" s="1"/>
      <c r="I4" s="1"/>
    </row>
    <row r="5" spans="1:9">
      <c r="A5" s="9" t="s">
        <v>11</v>
      </c>
      <c r="B5" s="9">
        <v>500</v>
      </c>
      <c r="C5" s="9"/>
      <c r="D5" s="29" t="s">
        <v>278</v>
      </c>
      <c r="E5" s="7">
        <v>2</v>
      </c>
      <c r="F5" s="6">
        <f t="shared" ref="F5:F16" si="0">(B5*E5)/1000</f>
        <v>1</v>
      </c>
      <c r="G5" s="1"/>
      <c r="H5" s="1"/>
      <c r="I5" s="1"/>
    </row>
    <row r="6" spans="1:9">
      <c r="A6" s="9"/>
      <c r="B6" s="9">
        <v>500</v>
      </c>
      <c r="C6" s="9" t="s">
        <v>114</v>
      </c>
      <c r="D6" s="9" t="s">
        <v>115</v>
      </c>
      <c r="E6" s="7">
        <v>100</v>
      </c>
      <c r="F6" s="6">
        <f t="shared" si="0"/>
        <v>50</v>
      </c>
      <c r="G6" s="1"/>
      <c r="H6" s="1"/>
      <c r="I6" s="1"/>
    </row>
    <row r="7" spans="1:9">
      <c r="A7" s="1"/>
      <c r="B7" s="9">
        <v>500</v>
      </c>
      <c r="C7" s="9"/>
      <c r="D7" s="9" t="s">
        <v>116</v>
      </c>
      <c r="E7" s="7">
        <v>30</v>
      </c>
      <c r="F7" s="6">
        <f t="shared" si="0"/>
        <v>15</v>
      </c>
      <c r="G7" s="1"/>
      <c r="H7" s="1"/>
      <c r="I7" s="1"/>
    </row>
    <row r="8" spans="1:9">
      <c r="A8" s="1"/>
      <c r="B8" s="9">
        <v>500</v>
      </c>
      <c r="C8" s="9"/>
      <c r="D8" s="9" t="s">
        <v>118</v>
      </c>
      <c r="E8" s="7">
        <v>20</v>
      </c>
      <c r="F8" s="6">
        <f t="shared" si="0"/>
        <v>10</v>
      </c>
      <c r="G8" s="1"/>
      <c r="H8" s="1"/>
      <c r="I8" s="1"/>
    </row>
    <row r="9" spans="1:9">
      <c r="A9" s="1"/>
      <c r="B9" s="9">
        <v>500</v>
      </c>
      <c r="C9" s="9"/>
      <c r="D9" s="9" t="s">
        <v>119</v>
      </c>
      <c r="E9" s="7">
        <v>10</v>
      </c>
      <c r="F9" s="6">
        <f t="shared" si="0"/>
        <v>5</v>
      </c>
      <c r="G9" s="1"/>
      <c r="H9" s="1"/>
      <c r="I9" s="1"/>
    </row>
    <row r="10" spans="1:9">
      <c r="A10" s="1"/>
      <c r="B10" s="9">
        <v>500</v>
      </c>
      <c r="C10" s="9" t="s">
        <v>117</v>
      </c>
      <c r="D10" s="9" t="s">
        <v>120</v>
      </c>
      <c r="E10" s="7">
        <v>20</v>
      </c>
      <c r="F10" s="6">
        <f t="shared" si="0"/>
        <v>10</v>
      </c>
      <c r="G10" s="1"/>
      <c r="H10" s="1"/>
      <c r="I10" s="1"/>
    </row>
    <row r="11" spans="1:9">
      <c r="A11" s="1"/>
      <c r="B11" s="9">
        <v>500</v>
      </c>
      <c r="C11" s="9"/>
      <c r="D11" s="9" t="s">
        <v>121</v>
      </c>
      <c r="E11" s="7">
        <v>10</v>
      </c>
      <c r="F11" s="6">
        <f t="shared" si="0"/>
        <v>5</v>
      </c>
      <c r="G11" s="1"/>
      <c r="H11" s="1"/>
      <c r="I11" s="1"/>
    </row>
    <row r="12" spans="1:9">
      <c r="A12" s="1"/>
      <c r="B12" s="9">
        <v>500</v>
      </c>
      <c r="C12" s="9"/>
      <c r="D12" s="9" t="s">
        <v>111</v>
      </c>
      <c r="E12" s="7">
        <v>5</v>
      </c>
      <c r="F12" s="6">
        <f t="shared" si="0"/>
        <v>2.5</v>
      </c>
      <c r="G12" s="1"/>
      <c r="H12" s="1"/>
      <c r="I12" s="1"/>
    </row>
    <row r="13" spans="1:9">
      <c r="A13" s="1"/>
      <c r="B13" s="9">
        <v>500</v>
      </c>
      <c r="C13" s="9"/>
      <c r="D13" s="9" t="s">
        <v>122</v>
      </c>
      <c r="E13" s="7">
        <v>10</v>
      </c>
      <c r="F13" s="6">
        <f t="shared" si="0"/>
        <v>5</v>
      </c>
      <c r="G13" s="1"/>
      <c r="H13" s="1"/>
      <c r="I13" s="1"/>
    </row>
    <row r="14" spans="1:9">
      <c r="A14" s="1"/>
      <c r="B14" s="9">
        <v>500</v>
      </c>
      <c r="C14" s="9"/>
      <c r="D14" s="9" t="s">
        <v>123</v>
      </c>
      <c r="E14" s="7">
        <v>10</v>
      </c>
      <c r="F14" s="6">
        <f t="shared" si="0"/>
        <v>5</v>
      </c>
      <c r="G14" s="1"/>
      <c r="H14" s="1"/>
      <c r="I14" s="1"/>
    </row>
    <row r="15" spans="1:9">
      <c r="A15" s="1"/>
      <c r="B15" s="9">
        <v>500</v>
      </c>
      <c r="C15" s="9"/>
      <c r="D15" s="9" t="s">
        <v>124</v>
      </c>
      <c r="E15" s="7">
        <v>30</v>
      </c>
      <c r="F15" s="6">
        <f t="shared" si="0"/>
        <v>15</v>
      </c>
      <c r="G15" s="1"/>
      <c r="H15" s="1"/>
      <c r="I15" s="1"/>
    </row>
    <row r="16" spans="1:9">
      <c r="A16" s="1"/>
      <c r="B16" s="9">
        <v>500</v>
      </c>
      <c r="C16" s="29" t="s">
        <v>8</v>
      </c>
      <c r="D16" s="29" t="s">
        <v>8</v>
      </c>
      <c r="E16" s="7">
        <v>40</v>
      </c>
      <c r="F16" s="6">
        <f t="shared" si="0"/>
        <v>20</v>
      </c>
      <c r="G16" s="1"/>
      <c r="H16" s="1"/>
      <c r="I16" s="1"/>
    </row>
    <row r="17" spans="1:9">
      <c r="A17" s="2"/>
      <c r="B17" s="2"/>
      <c r="C17" s="2"/>
      <c r="D17" s="2"/>
      <c r="E17" s="2"/>
      <c r="F17" s="2"/>
      <c r="G17" s="2"/>
      <c r="H17" s="1"/>
      <c r="I17" s="1"/>
    </row>
    <row r="18" spans="1:9">
      <c r="A18" s="3">
        <v>41921</v>
      </c>
      <c r="B18" s="9">
        <v>200</v>
      </c>
      <c r="C18" s="9" t="s">
        <v>127</v>
      </c>
      <c r="D18" s="9" t="s">
        <v>128</v>
      </c>
      <c r="E18" s="7">
        <v>25</v>
      </c>
      <c r="F18" s="5">
        <f>(B18*E18)/1000</f>
        <v>5</v>
      </c>
      <c r="G18" s="1"/>
      <c r="H18" s="1"/>
      <c r="I18" s="1"/>
    </row>
    <row r="19" spans="1:9">
      <c r="A19" s="9" t="s">
        <v>126</v>
      </c>
      <c r="B19" s="29">
        <v>200</v>
      </c>
      <c r="C19" s="9"/>
      <c r="D19" s="9" t="s">
        <v>12</v>
      </c>
      <c r="E19" s="7">
        <v>40</v>
      </c>
      <c r="F19" s="5">
        <f t="shared" ref="F19:F26" si="1">(B19*E19)/1000</f>
        <v>8</v>
      </c>
      <c r="G19" s="1"/>
      <c r="H19" s="1"/>
      <c r="I19" s="1"/>
    </row>
    <row r="20" spans="1:9">
      <c r="A20" s="9" t="s">
        <v>2</v>
      </c>
      <c r="B20" s="29">
        <v>200</v>
      </c>
      <c r="C20" s="9"/>
      <c r="D20" s="9" t="s">
        <v>38</v>
      </c>
      <c r="E20" s="7">
        <v>2</v>
      </c>
      <c r="F20" s="5">
        <f t="shared" si="1"/>
        <v>0.4</v>
      </c>
      <c r="G20" s="1"/>
      <c r="H20" s="1"/>
      <c r="I20" s="1"/>
    </row>
    <row r="21" spans="1:9">
      <c r="A21" s="1"/>
      <c r="B21" s="29">
        <v>200</v>
      </c>
      <c r="C21" s="9" t="s">
        <v>129</v>
      </c>
      <c r="D21" s="9" t="s">
        <v>132</v>
      </c>
      <c r="E21" s="7">
        <v>60</v>
      </c>
      <c r="F21" s="5">
        <f t="shared" si="1"/>
        <v>12</v>
      </c>
      <c r="G21" s="1"/>
      <c r="H21" s="1"/>
      <c r="I21" s="1"/>
    </row>
    <row r="22" spans="1:9">
      <c r="A22" s="1"/>
      <c r="B22" s="29">
        <v>200</v>
      </c>
      <c r="C22" s="9"/>
      <c r="D22" s="9" t="s">
        <v>133</v>
      </c>
      <c r="E22" s="7">
        <v>30</v>
      </c>
      <c r="F22" s="5">
        <f t="shared" si="1"/>
        <v>6</v>
      </c>
      <c r="G22" s="1"/>
      <c r="H22" s="1"/>
      <c r="I22" s="1"/>
    </row>
    <row r="23" spans="1:9">
      <c r="A23" s="1"/>
      <c r="B23" s="29">
        <v>200</v>
      </c>
      <c r="C23" s="9"/>
      <c r="D23" s="9" t="s">
        <v>18</v>
      </c>
      <c r="E23" s="7">
        <v>10</v>
      </c>
      <c r="F23" s="5">
        <f t="shared" si="1"/>
        <v>2</v>
      </c>
      <c r="G23" s="1"/>
      <c r="H23" s="1"/>
      <c r="I23" s="1"/>
    </row>
    <row r="24" spans="1:9">
      <c r="A24" s="1"/>
      <c r="B24" s="29">
        <v>200</v>
      </c>
      <c r="C24" s="9"/>
      <c r="D24" s="9" t="s">
        <v>10</v>
      </c>
      <c r="E24" s="7">
        <v>10</v>
      </c>
      <c r="F24" s="5">
        <f t="shared" si="1"/>
        <v>2</v>
      </c>
      <c r="G24" s="1"/>
      <c r="H24" s="1"/>
      <c r="I24" s="1"/>
    </row>
    <row r="25" spans="1:9">
      <c r="A25" s="1"/>
      <c r="B25" s="29">
        <v>200</v>
      </c>
      <c r="C25" s="9" t="s">
        <v>131</v>
      </c>
      <c r="D25" s="9" t="s">
        <v>130</v>
      </c>
      <c r="E25" s="7">
        <v>100</v>
      </c>
      <c r="F25" s="6" t="s">
        <v>279</v>
      </c>
      <c r="G25" s="1"/>
      <c r="H25" s="1"/>
      <c r="I25" s="1"/>
    </row>
    <row r="26" spans="1:9">
      <c r="A26" s="1"/>
      <c r="B26" s="29">
        <v>200</v>
      </c>
      <c r="C26" s="29" t="s">
        <v>8</v>
      </c>
      <c r="D26" s="29" t="s">
        <v>8</v>
      </c>
      <c r="E26" s="7">
        <v>40</v>
      </c>
      <c r="F26" s="5">
        <f t="shared" si="1"/>
        <v>8</v>
      </c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>
        <v>41921</v>
      </c>
      <c r="B28" s="9">
        <v>350</v>
      </c>
      <c r="C28" s="12" t="s">
        <v>134</v>
      </c>
      <c r="D28" s="29" t="s">
        <v>281</v>
      </c>
      <c r="E28" s="7">
        <v>2</v>
      </c>
      <c r="F28" s="5">
        <f>(B28*E28)/1000</f>
        <v>0.7</v>
      </c>
      <c r="G28" s="1"/>
      <c r="H28" s="1"/>
      <c r="I28" s="1"/>
    </row>
    <row r="29" spans="1:9">
      <c r="A29" s="29" t="s">
        <v>280</v>
      </c>
      <c r="B29" s="29">
        <v>350</v>
      </c>
      <c r="C29" s="12" t="s">
        <v>135</v>
      </c>
      <c r="D29" s="12" t="s">
        <v>137</v>
      </c>
      <c r="E29" s="7">
        <v>30</v>
      </c>
      <c r="F29" s="5">
        <f t="shared" ref="F29:F40" si="2">(B29*E29)/1000</f>
        <v>10.5</v>
      </c>
      <c r="G29" s="1"/>
      <c r="H29" s="1"/>
      <c r="I29" s="1"/>
    </row>
    <row r="30" spans="1:9">
      <c r="A30" s="9"/>
      <c r="B30" s="29">
        <v>350</v>
      </c>
      <c r="C30" s="9"/>
      <c r="D30" s="23" t="s">
        <v>232</v>
      </c>
      <c r="E30" s="7">
        <v>25</v>
      </c>
      <c r="F30" s="5">
        <f t="shared" si="2"/>
        <v>8.75</v>
      </c>
      <c r="G30" s="1"/>
      <c r="H30" s="1"/>
      <c r="I30" s="1"/>
    </row>
    <row r="31" spans="1:9">
      <c r="A31" s="1"/>
      <c r="B31" s="29">
        <v>350</v>
      </c>
      <c r="C31" s="9"/>
      <c r="D31" s="12" t="s">
        <v>138</v>
      </c>
      <c r="E31" s="7">
        <v>0</v>
      </c>
      <c r="F31" s="5">
        <f t="shared" si="2"/>
        <v>0</v>
      </c>
      <c r="G31" s="1"/>
      <c r="H31" s="1"/>
      <c r="I31" s="1"/>
    </row>
    <row r="32" spans="1:9">
      <c r="A32" s="1"/>
      <c r="B32" s="29">
        <v>350</v>
      </c>
      <c r="C32" s="29" t="s">
        <v>282</v>
      </c>
      <c r="D32" s="29" t="s">
        <v>283</v>
      </c>
      <c r="E32" s="7">
        <v>20</v>
      </c>
      <c r="F32" s="5">
        <f t="shared" si="2"/>
        <v>7</v>
      </c>
      <c r="G32" s="1"/>
      <c r="H32" s="1"/>
      <c r="I32" s="1"/>
    </row>
    <row r="33" spans="1:9">
      <c r="A33" s="1"/>
      <c r="B33" s="29">
        <v>350</v>
      </c>
      <c r="C33" s="9"/>
      <c r="D33" s="29" t="s">
        <v>30</v>
      </c>
      <c r="E33" s="7">
        <v>10</v>
      </c>
      <c r="F33" s="5">
        <f t="shared" si="2"/>
        <v>3.5</v>
      </c>
      <c r="G33" s="1"/>
      <c r="H33" s="1"/>
      <c r="I33" s="1"/>
    </row>
    <row r="34" spans="1:9">
      <c r="A34" s="1"/>
      <c r="B34" s="29">
        <v>350</v>
      </c>
      <c r="C34" s="9"/>
      <c r="D34" s="12" t="s">
        <v>139</v>
      </c>
      <c r="E34" s="7">
        <v>15</v>
      </c>
      <c r="F34" s="5">
        <f t="shared" si="2"/>
        <v>5.25</v>
      </c>
      <c r="G34" s="1"/>
      <c r="H34" s="1"/>
      <c r="I34" s="1"/>
    </row>
    <row r="35" spans="1:9">
      <c r="A35" s="1"/>
      <c r="B35" s="29">
        <v>350</v>
      </c>
      <c r="C35" s="9"/>
      <c r="D35" s="12" t="s">
        <v>10</v>
      </c>
      <c r="E35" s="7">
        <v>20</v>
      </c>
      <c r="F35" s="5">
        <f t="shared" si="2"/>
        <v>7</v>
      </c>
      <c r="G35" s="1"/>
      <c r="H35" s="1"/>
      <c r="I35" s="1"/>
    </row>
    <row r="36" spans="1:9">
      <c r="A36" s="1"/>
      <c r="B36" s="29">
        <v>350</v>
      </c>
      <c r="C36" s="29"/>
      <c r="D36" s="29" t="s">
        <v>284</v>
      </c>
      <c r="E36" s="7">
        <v>10</v>
      </c>
      <c r="F36" s="5">
        <f t="shared" si="2"/>
        <v>3.5</v>
      </c>
      <c r="G36" s="1"/>
      <c r="H36" s="1"/>
      <c r="I36" s="1"/>
    </row>
    <row r="37" spans="1:9">
      <c r="A37" s="1"/>
      <c r="B37" s="29">
        <v>350</v>
      </c>
      <c r="C37" s="9"/>
      <c r="D37" s="12" t="s">
        <v>140</v>
      </c>
      <c r="E37" s="7">
        <v>1</v>
      </c>
      <c r="F37" s="5">
        <f t="shared" si="2"/>
        <v>0.35</v>
      </c>
      <c r="G37" s="1"/>
      <c r="H37" s="1"/>
      <c r="I37" s="1"/>
    </row>
    <row r="38" spans="1:9">
      <c r="A38" s="1"/>
      <c r="B38" s="29">
        <v>350</v>
      </c>
      <c r="C38" s="14" t="s">
        <v>136</v>
      </c>
      <c r="D38" s="12" t="s">
        <v>141</v>
      </c>
      <c r="E38" s="7">
        <v>40</v>
      </c>
      <c r="F38" s="5">
        <f t="shared" si="2"/>
        <v>14</v>
      </c>
      <c r="G38" s="1"/>
      <c r="H38" s="1"/>
      <c r="I38" s="1"/>
    </row>
    <row r="39" spans="1:9">
      <c r="A39" s="1"/>
      <c r="B39" s="29">
        <v>350</v>
      </c>
      <c r="C39" s="9"/>
      <c r="D39" s="30" t="s">
        <v>285</v>
      </c>
      <c r="E39" s="7">
        <v>10</v>
      </c>
      <c r="F39" s="5">
        <f t="shared" si="2"/>
        <v>3.5</v>
      </c>
      <c r="G39" s="1"/>
      <c r="H39" s="1"/>
      <c r="I39" s="1"/>
    </row>
    <row r="40" spans="1:9">
      <c r="A40" s="1"/>
      <c r="B40" s="29">
        <v>350</v>
      </c>
      <c r="C40" s="9" t="s">
        <v>8</v>
      </c>
      <c r="D40" s="9" t="s">
        <v>8</v>
      </c>
      <c r="E40" s="7">
        <v>40</v>
      </c>
      <c r="F40" s="5">
        <f t="shared" si="2"/>
        <v>14</v>
      </c>
      <c r="G40" s="1"/>
      <c r="H40" s="1"/>
      <c r="I40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topLeftCell="A21" workbookViewId="0">
      <selection activeCell="J43" sqref="J43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5" t="s">
        <v>286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12" t="s">
        <v>0</v>
      </c>
      <c r="B2" s="12" t="s">
        <v>3</v>
      </c>
      <c r="C2" s="12" t="s">
        <v>4</v>
      </c>
      <c r="D2" s="12" t="s">
        <v>5</v>
      </c>
      <c r="E2" s="12" t="s">
        <v>17</v>
      </c>
      <c r="F2" s="12" t="s">
        <v>6</v>
      </c>
      <c r="G2" s="12" t="s">
        <v>7</v>
      </c>
      <c r="H2" s="12"/>
      <c r="I2" s="12"/>
    </row>
    <row r="3" spans="1:9">
      <c r="A3" s="3">
        <v>41921</v>
      </c>
      <c r="B3" s="12">
        <v>350</v>
      </c>
      <c r="C3" s="12" t="s">
        <v>142</v>
      </c>
      <c r="D3" s="12" t="s">
        <v>143</v>
      </c>
      <c r="E3" s="7">
        <v>100</v>
      </c>
      <c r="F3" s="5">
        <f>(B3*E3)/1000</f>
        <v>35</v>
      </c>
      <c r="G3" s="1"/>
      <c r="H3" s="1"/>
      <c r="I3" s="1"/>
    </row>
    <row r="4" spans="1:9">
      <c r="A4" s="12" t="s">
        <v>126</v>
      </c>
      <c r="B4" s="31">
        <v>350</v>
      </c>
      <c r="C4" s="12"/>
      <c r="D4" s="12" t="s">
        <v>41</v>
      </c>
      <c r="E4" s="7">
        <v>35</v>
      </c>
      <c r="F4" s="6">
        <f>(B4*E4)/1000</f>
        <v>12.25</v>
      </c>
      <c r="G4" s="1"/>
      <c r="H4" s="1"/>
      <c r="I4" s="1"/>
    </row>
    <row r="5" spans="1:9">
      <c r="A5" s="12" t="s">
        <v>11</v>
      </c>
      <c r="B5" s="31">
        <v>350</v>
      </c>
      <c r="C5" s="12"/>
      <c r="D5" s="12" t="s">
        <v>10</v>
      </c>
      <c r="E5" s="7">
        <v>30</v>
      </c>
      <c r="F5" s="6">
        <f t="shared" ref="F5:F21" si="0">(B5*E5)/1000</f>
        <v>10.5</v>
      </c>
      <c r="G5" s="1"/>
      <c r="H5" s="1"/>
      <c r="I5" s="1"/>
    </row>
    <row r="6" spans="1:9">
      <c r="A6" s="12"/>
      <c r="B6" s="31">
        <v>350</v>
      </c>
      <c r="C6" s="12"/>
      <c r="D6" s="12" t="s">
        <v>18</v>
      </c>
      <c r="E6" s="7">
        <v>10</v>
      </c>
      <c r="F6" s="6">
        <f t="shared" si="0"/>
        <v>3.5</v>
      </c>
      <c r="G6" s="1"/>
      <c r="H6" s="1"/>
      <c r="I6" s="1"/>
    </row>
    <row r="7" spans="1:9">
      <c r="A7" s="21"/>
      <c r="B7" s="31">
        <v>350</v>
      </c>
      <c r="C7" s="21"/>
      <c r="D7" s="21" t="s">
        <v>226</v>
      </c>
      <c r="E7" s="7">
        <v>2</v>
      </c>
      <c r="F7" s="6">
        <f t="shared" si="0"/>
        <v>0.7</v>
      </c>
      <c r="G7" s="1"/>
      <c r="H7" s="1"/>
      <c r="I7" s="1"/>
    </row>
    <row r="8" spans="1:9">
      <c r="A8" s="21"/>
      <c r="B8" s="31">
        <v>350</v>
      </c>
      <c r="C8" s="21"/>
      <c r="D8" s="21" t="s">
        <v>227</v>
      </c>
      <c r="E8" s="7">
        <v>5</v>
      </c>
      <c r="F8" s="6">
        <f t="shared" si="0"/>
        <v>1.75</v>
      </c>
      <c r="G8" s="1" t="s">
        <v>287</v>
      </c>
      <c r="H8" s="1"/>
      <c r="I8" s="1"/>
    </row>
    <row r="9" spans="1:9">
      <c r="A9" s="1"/>
      <c r="B9" s="31">
        <v>350</v>
      </c>
      <c r="C9" s="31" t="s">
        <v>288</v>
      </c>
      <c r="D9" s="31" t="s">
        <v>87</v>
      </c>
      <c r="E9" s="7">
        <v>20</v>
      </c>
      <c r="F9" s="6">
        <f t="shared" si="0"/>
        <v>7</v>
      </c>
      <c r="G9" s="1"/>
      <c r="H9" s="1"/>
      <c r="I9" s="1"/>
    </row>
    <row r="10" spans="1:9">
      <c r="A10" s="1"/>
      <c r="B10" s="31">
        <v>350</v>
      </c>
      <c r="C10" s="12"/>
      <c r="D10" s="12" t="s">
        <v>12</v>
      </c>
      <c r="E10" s="7">
        <v>30</v>
      </c>
      <c r="F10" s="6">
        <f t="shared" si="0"/>
        <v>10.5</v>
      </c>
      <c r="G10" s="1"/>
      <c r="H10" s="1"/>
      <c r="I10" s="1"/>
    </row>
    <row r="11" spans="1:9">
      <c r="A11" s="1"/>
      <c r="B11" s="31">
        <v>350</v>
      </c>
      <c r="C11" s="26"/>
      <c r="D11" s="31" t="s">
        <v>140</v>
      </c>
      <c r="E11" s="7">
        <v>1</v>
      </c>
      <c r="F11" s="6">
        <f t="shared" si="0"/>
        <v>0.35</v>
      </c>
      <c r="G11" s="1"/>
      <c r="H11" s="1"/>
      <c r="I11" s="1"/>
    </row>
    <row r="12" spans="1:9">
      <c r="A12" s="1"/>
      <c r="B12" s="31">
        <v>350</v>
      </c>
      <c r="C12" s="31" t="s">
        <v>289</v>
      </c>
      <c r="D12" s="31" t="s">
        <v>290</v>
      </c>
      <c r="E12" s="7">
        <v>25</v>
      </c>
      <c r="F12" s="6">
        <f t="shared" si="0"/>
        <v>8.75</v>
      </c>
      <c r="G12" s="1"/>
      <c r="H12" s="1"/>
      <c r="I12" s="1"/>
    </row>
    <row r="13" spans="1:9">
      <c r="A13" s="1"/>
      <c r="B13" s="31">
        <v>350</v>
      </c>
      <c r="C13" s="21"/>
      <c r="D13" s="31" t="s">
        <v>291</v>
      </c>
      <c r="E13" s="7">
        <v>15</v>
      </c>
      <c r="F13" s="6">
        <f t="shared" si="0"/>
        <v>5.25</v>
      </c>
      <c r="G13" s="1"/>
      <c r="H13" s="1"/>
      <c r="I13" s="1"/>
    </row>
    <row r="14" spans="1:9">
      <c r="A14" s="1"/>
      <c r="B14" s="31">
        <v>350</v>
      </c>
      <c r="C14" s="31"/>
      <c r="D14" s="31" t="s">
        <v>292</v>
      </c>
      <c r="E14" s="7">
        <v>15</v>
      </c>
      <c r="F14" s="6">
        <f t="shared" si="0"/>
        <v>5.25</v>
      </c>
      <c r="G14" s="1"/>
      <c r="H14" s="1"/>
      <c r="I14" s="1"/>
    </row>
    <row r="15" spans="1:9">
      <c r="A15" s="1"/>
      <c r="B15" s="31">
        <v>350</v>
      </c>
      <c r="C15" s="31"/>
      <c r="D15" s="31" t="s">
        <v>293</v>
      </c>
      <c r="E15" s="7">
        <v>20</v>
      </c>
      <c r="F15" s="6">
        <f t="shared" si="0"/>
        <v>7</v>
      </c>
      <c r="G15" s="1"/>
      <c r="H15" s="1"/>
      <c r="I15" s="1"/>
    </row>
    <row r="16" spans="1:9">
      <c r="A16" s="1"/>
      <c r="B16" s="31">
        <v>350</v>
      </c>
      <c r="C16" s="31"/>
      <c r="D16" s="31" t="s">
        <v>294</v>
      </c>
      <c r="E16" s="7">
        <v>5</v>
      </c>
      <c r="F16" s="6">
        <f t="shared" si="0"/>
        <v>1.75</v>
      </c>
      <c r="G16" s="1"/>
      <c r="H16" s="1"/>
      <c r="I16" s="1"/>
    </row>
    <row r="17" spans="1:9">
      <c r="A17" s="1"/>
      <c r="B17" s="31">
        <v>350</v>
      </c>
      <c r="C17" s="31"/>
      <c r="D17" s="31" t="s">
        <v>295</v>
      </c>
      <c r="E17" s="7">
        <v>30</v>
      </c>
      <c r="F17" s="6">
        <f t="shared" si="0"/>
        <v>10.5</v>
      </c>
      <c r="G17" s="1"/>
      <c r="H17" s="1"/>
      <c r="I17" s="1"/>
    </row>
    <row r="18" spans="1:9">
      <c r="A18" s="1"/>
      <c r="B18" s="31">
        <v>350</v>
      </c>
      <c r="C18" s="31" t="s">
        <v>107</v>
      </c>
      <c r="D18" s="31" t="s">
        <v>107</v>
      </c>
      <c r="E18" s="7">
        <v>40</v>
      </c>
      <c r="F18" s="6">
        <f t="shared" si="0"/>
        <v>14</v>
      </c>
      <c r="G18" s="1"/>
      <c r="H18" s="1"/>
      <c r="I18" s="1"/>
    </row>
    <row r="19" spans="1:9">
      <c r="A19" s="2"/>
      <c r="B19" s="2"/>
      <c r="C19" s="2"/>
      <c r="D19" s="2"/>
      <c r="E19" s="2"/>
      <c r="F19" s="25">
        <f t="shared" si="0"/>
        <v>0</v>
      </c>
      <c r="G19" s="2"/>
      <c r="H19" s="1"/>
      <c r="I19" s="1"/>
    </row>
    <row r="20" spans="1:9">
      <c r="A20" s="3">
        <v>41922</v>
      </c>
      <c r="B20" s="12">
        <v>150</v>
      </c>
      <c r="C20" s="12" t="s">
        <v>146</v>
      </c>
      <c r="D20" s="12" t="s">
        <v>148</v>
      </c>
      <c r="E20" s="7">
        <v>40</v>
      </c>
      <c r="F20" s="6">
        <f t="shared" si="0"/>
        <v>6</v>
      </c>
      <c r="G20" s="1"/>
      <c r="H20" s="1"/>
      <c r="I20" s="1"/>
    </row>
    <row r="21" spans="1:9">
      <c r="A21" s="12" t="s">
        <v>145</v>
      </c>
      <c r="B21" s="31">
        <v>150</v>
      </c>
      <c r="C21" s="12"/>
      <c r="D21" s="12" t="s">
        <v>12</v>
      </c>
      <c r="E21" s="7">
        <v>20</v>
      </c>
      <c r="F21" s="6">
        <f t="shared" si="0"/>
        <v>3</v>
      </c>
      <c r="G21" s="1"/>
      <c r="H21" s="1"/>
      <c r="I21" s="1"/>
    </row>
    <row r="22" spans="1:9">
      <c r="A22" s="12" t="s">
        <v>2</v>
      </c>
      <c r="B22" s="31">
        <v>150</v>
      </c>
      <c r="C22" s="12"/>
      <c r="D22" s="12" t="s">
        <v>149</v>
      </c>
      <c r="E22" s="7">
        <v>10</v>
      </c>
      <c r="F22" s="5">
        <f t="shared" ref="F22:F29" si="1">(B22*E22)/1000</f>
        <v>1.5</v>
      </c>
      <c r="G22" s="1"/>
      <c r="H22" s="1"/>
      <c r="I22" s="1"/>
    </row>
    <row r="23" spans="1:9">
      <c r="A23" s="1"/>
      <c r="B23" s="31">
        <v>150</v>
      </c>
      <c r="C23" s="12"/>
      <c r="D23" s="12" t="s">
        <v>49</v>
      </c>
      <c r="E23" s="7">
        <v>10</v>
      </c>
      <c r="F23" s="5">
        <f t="shared" si="1"/>
        <v>1.5</v>
      </c>
      <c r="G23" s="1"/>
      <c r="H23" s="1"/>
      <c r="I23" s="1"/>
    </row>
    <row r="24" spans="1:9">
      <c r="A24" s="1"/>
      <c r="B24" s="31">
        <v>150</v>
      </c>
      <c r="C24" s="12"/>
      <c r="D24" s="12" t="s">
        <v>150</v>
      </c>
      <c r="E24" s="7">
        <v>2</v>
      </c>
      <c r="F24" s="5">
        <f t="shared" si="1"/>
        <v>0.3</v>
      </c>
      <c r="G24" s="1"/>
      <c r="H24" s="1"/>
      <c r="I24" s="1"/>
    </row>
    <row r="25" spans="1:9">
      <c r="A25" s="1"/>
      <c r="B25" s="31">
        <v>150</v>
      </c>
      <c r="C25" s="12"/>
      <c r="D25" s="12" t="s">
        <v>140</v>
      </c>
      <c r="E25" s="7">
        <v>2</v>
      </c>
      <c r="F25" s="5">
        <f t="shared" si="1"/>
        <v>0.3</v>
      </c>
      <c r="G25" s="1"/>
      <c r="H25" s="1"/>
      <c r="I25" s="1"/>
    </row>
    <row r="26" spans="1:9">
      <c r="A26" s="1"/>
      <c r="B26" s="31">
        <v>150</v>
      </c>
      <c r="C26" s="12" t="s">
        <v>147</v>
      </c>
      <c r="D26" s="12" t="s">
        <v>151</v>
      </c>
      <c r="E26" s="7">
        <v>100</v>
      </c>
      <c r="F26" s="5">
        <f t="shared" si="1"/>
        <v>15</v>
      </c>
      <c r="G26" s="1"/>
      <c r="H26" s="1"/>
      <c r="I26" s="1"/>
    </row>
    <row r="27" spans="1:9">
      <c r="A27" s="1"/>
      <c r="B27" s="31">
        <v>150</v>
      </c>
      <c r="C27" s="31" t="s">
        <v>296</v>
      </c>
      <c r="D27" s="31" t="s">
        <v>30</v>
      </c>
      <c r="E27" s="7">
        <v>50</v>
      </c>
      <c r="F27" s="5">
        <f t="shared" si="1"/>
        <v>7.5</v>
      </c>
      <c r="G27" s="1"/>
      <c r="H27" s="1"/>
      <c r="I27" s="1"/>
    </row>
    <row r="28" spans="1:9">
      <c r="A28" s="1"/>
      <c r="B28" s="31">
        <v>150</v>
      </c>
      <c r="C28" s="12"/>
      <c r="D28" s="31" t="s">
        <v>297</v>
      </c>
      <c r="E28" s="7">
        <v>10</v>
      </c>
      <c r="F28" s="6">
        <f t="shared" si="1"/>
        <v>1.5</v>
      </c>
      <c r="G28" s="1"/>
      <c r="H28" s="1"/>
      <c r="I28" s="1"/>
    </row>
    <row r="29" spans="1:9">
      <c r="A29" s="1"/>
      <c r="B29" s="31">
        <v>150</v>
      </c>
      <c r="C29" s="31" t="s">
        <v>8</v>
      </c>
      <c r="D29" s="31" t="s">
        <v>8</v>
      </c>
      <c r="E29" s="7">
        <v>40</v>
      </c>
      <c r="F29" s="5">
        <f t="shared" si="1"/>
        <v>6</v>
      </c>
      <c r="G29" s="1"/>
      <c r="H29" s="1"/>
      <c r="I29" s="1"/>
    </row>
    <row r="30" spans="1:9">
      <c r="A30" s="2"/>
      <c r="B30" s="2"/>
      <c r="C30" s="2"/>
      <c r="D30" s="2"/>
      <c r="E30" s="2"/>
      <c r="F30" s="2"/>
      <c r="G30" s="2"/>
      <c r="H30" s="1"/>
      <c r="I30" s="1"/>
    </row>
    <row r="31" spans="1:9">
      <c r="A31" s="3">
        <v>41922</v>
      </c>
      <c r="B31" s="12">
        <v>400</v>
      </c>
      <c r="C31" s="24" t="s">
        <v>241</v>
      </c>
      <c r="D31" s="12" t="s">
        <v>153</v>
      </c>
      <c r="E31" s="7">
        <v>250</v>
      </c>
      <c r="F31" s="5">
        <f>(B31*E31)/1000</f>
        <v>100</v>
      </c>
      <c r="G31" s="1"/>
      <c r="H31" s="1"/>
      <c r="I31" s="1"/>
    </row>
    <row r="32" spans="1:9">
      <c r="A32" s="12" t="s">
        <v>145</v>
      </c>
      <c r="B32" s="31">
        <v>400</v>
      </c>
      <c r="C32" s="12" t="s">
        <v>152</v>
      </c>
      <c r="D32" s="24" t="s">
        <v>242</v>
      </c>
      <c r="E32" s="7">
        <v>20</v>
      </c>
      <c r="F32" s="5">
        <f t="shared" ref="F32:F42" si="2">(B32*E32)/1000</f>
        <v>8</v>
      </c>
      <c r="G32" s="1"/>
      <c r="H32" s="1"/>
      <c r="I32" s="1"/>
    </row>
    <row r="33" spans="1:9">
      <c r="A33" s="24" t="s">
        <v>243</v>
      </c>
      <c r="B33" s="31">
        <v>400</v>
      </c>
      <c r="C33" s="12"/>
      <c r="D33" s="12" t="s">
        <v>154</v>
      </c>
      <c r="E33" s="7">
        <v>25</v>
      </c>
      <c r="F33" s="5">
        <f t="shared" si="2"/>
        <v>10</v>
      </c>
      <c r="G33" s="1"/>
      <c r="H33" s="1"/>
      <c r="I33" s="1"/>
    </row>
    <row r="34" spans="1:9">
      <c r="A34" s="1"/>
      <c r="B34" s="31">
        <v>400</v>
      </c>
      <c r="C34" s="12"/>
      <c r="D34" s="23" t="s">
        <v>232</v>
      </c>
      <c r="E34" s="7">
        <v>25</v>
      </c>
      <c r="F34" s="5">
        <f t="shared" si="2"/>
        <v>10</v>
      </c>
      <c r="G34" s="1"/>
      <c r="H34" s="1"/>
      <c r="I34" s="1"/>
    </row>
    <row r="35" spans="1:9">
      <c r="A35" s="1"/>
      <c r="B35" s="31">
        <v>400</v>
      </c>
      <c r="C35" s="12"/>
      <c r="D35" s="12" t="s">
        <v>41</v>
      </c>
      <c r="E35" s="7">
        <v>35</v>
      </c>
      <c r="F35" s="5">
        <f t="shared" si="2"/>
        <v>14</v>
      </c>
      <c r="G35" s="1"/>
      <c r="H35" s="1"/>
      <c r="I35" s="1"/>
    </row>
    <row r="36" spans="1:9">
      <c r="A36" s="1"/>
      <c r="B36" s="31">
        <v>400</v>
      </c>
      <c r="C36" s="12" t="s">
        <v>155</v>
      </c>
      <c r="D36" s="12" t="s">
        <v>156</v>
      </c>
      <c r="E36" s="7">
        <v>100</v>
      </c>
      <c r="F36" s="5">
        <f t="shared" si="2"/>
        <v>40</v>
      </c>
      <c r="G36" s="1"/>
      <c r="H36" s="1"/>
      <c r="I36" s="1"/>
    </row>
    <row r="37" spans="1:9">
      <c r="A37" s="1"/>
      <c r="B37" s="31">
        <v>400</v>
      </c>
      <c r="C37" s="12"/>
      <c r="D37" s="12" t="s">
        <v>157</v>
      </c>
      <c r="E37" s="7">
        <v>0</v>
      </c>
      <c r="F37" s="5">
        <f t="shared" si="2"/>
        <v>0</v>
      </c>
      <c r="G37" s="1"/>
      <c r="H37" s="1"/>
      <c r="I37" s="1"/>
    </row>
    <row r="38" spans="1:9">
      <c r="A38" s="1"/>
      <c r="B38" s="31">
        <v>400</v>
      </c>
      <c r="C38" s="14"/>
      <c r="D38" s="12" t="s">
        <v>158</v>
      </c>
      <c r="E38" s="7">
        <v>40</v>
      </c>
      <c r="F38" s="5">
        <f t="shared" si="2"/>
        <v>16</v>
      </c>
      <c r="G38" s="1"/>
      <c r="H38" s="1"/>
      <c r="I38" s="1"/>
    </row>
    <row r="39" spans="1:9">
      <c r="A39" s="1"/>
      <c r="B39" s="31">
        <v>400</v>
      </c>
      <c r="C39" s="12"/>
      <c r="D39" s="12" t="s">
        <v>159</v>
      </c>
      <c r="E39" s="7">
        <v>20</v>
      </c>
      <c r="F39" s="5">
        <f t="shared" si="2"/>
        <v>8</v>
      </c>
      <c r="G39" s="1"/>
      <c r="H39" s="1"/>
      <c r="I39" s="1"/>
    </row>
    <row r="40" spans="1:9">
      <c r="A40" s="1"/>
      <c r="B40" s="31">
        <v>400</v>
      </c>
      <c r="C40" s="12"/>
      <c r="D40" s="31" t="s">
        <v>298</v>
      </c>
      <c r="E40" s="7">
        <v>10</v>
      </c>
      <c r="F40" s="5">
        <f t="shared" si="2"/>
        <v>4</v>
      </c>
      <c r="G40" s="1"/>
      <c r="H40" s="1"/>
      <c r="I40" s="1"/>
    </row>
    <row r="41" spans="1:9">
      <c r="A41" s="1"/>
      <c r="B41" s="31">
        <v>400</v>
      </c>
      <c r="C41" s="12" t="s">
        <v>160</v>
      </c>
      <c r="D41" s="12" t="s">
        <v>160</v>
      </c>
      <c r="E41" s="7">
        <v>60</v>
      </c>
      <c r="F41" s="5">
        <f t="shared" si="2"/>
        <v>24</v>
      </c>
      <c r="G41" s="1"/>
      <c r="H41" s="1"/>
      <c r="I41" s="1"/>
    </row>
    <row r="42" spans="1:9">
      <c r="A42" s="1"/>
      <c r="B42" s="31">
        <v>400</v>
      </c>
      <c r="C42" s="12" t="s">
        <v>8</v>
      </c>
      <c r="D42" s="12" t="s">
        <v>8</v>
      </c>
      <c r="E42" s="7">
        <v>40</v>
      </c>
      <c r="F42" s="5">
        <f t="shared" si="2"/>
        <v>16</v>
      </c>
      <c r="G42" s="1"/>
      <c r="H42" s="1"/>
      <c r="I42" s="1"/>
    </row>
    <row r="43" spans="1:9">
      <c r="A43" s="1"/>
      <c r="B43" s="31">
        <v>400</v>
      </c>
      <c r="C43" s="12" t="s">
        <v>161</v>
      </c>
      <c r="D43" s="12" t="s">
        <v>161</v>
      </c>
      <c r="E43" s="7">
        <v>65</v>
      </c>
      <c r="F43" s="6" t="s">
        <v>299</v>
      </c>
      <c r="G43" s="1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topLeftCell="A13" workbookViewId="0">
      <selection activeCell="D37" sqref="D37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5" t="s">
        <v>300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12" t="s">
        <v>0</v>
      </c>
      <c r="B2" s="12" t="s">
        <v>3</v>
      </c>
      <c r="C2" s="12" t="s">
        <v>4</v>
      </c>
      <c r="D2" s="12" t="s">
        <v>5</v>
      </c>
      <c r="E2" s="12" t="s">
        <v>17</v>
      </c>
      <c r="F2" s="12" t="s">
        <v>6</v>
      </c>
      <c r="G2" s="12" t="s">
        <v>7</v>
      </c>
      <c r="H2" s="12"/>
      <c r="I2" s="12"/>
    </row>
    <row r="3" spans="1:9">
      <c r="A3" s="3">
        <v>41922</v>
      </c>
      <c r="B3" s="12">
        <v>400</v>
      </c>
      <c r="C3" s="12" t="s">
        <v>58</v>
      </c>
      <c r="D3" s="12" t="s">
        <v>63</v>
      </c>
      <c r="E3" s="7">
        <v>2</v>
      </c>
      <c r="F3" s="5">
        <f>(B3*E3)/1000</f>
        <v>0.8</v>
      </c>
      <c r="G3" s="1"/>
      <c r="H3" s="1"/>
      <c r="I3" s="1"/>
    </row>
    <row r="4" spans="1:9">
      <c r="A4" s="12" t="s">
        <v>145</v>
      </c>
      <c r="B4" s="31">
        <v>400</v>
      </c>
      <c r="C4" s="12" t="s">
        <v>162</v>
      </c>
      <c r="D4" s="12" t="s">
        <v>163</v>
      </c>
      <c r="E4" s="7">
        <v>2</v>
      </c>
      <c r="F4" s="6">
        <f>(B4*E4)/1000</f>
        <v>0.8</v>
      </c>
      <c r="G4" s="1"/>
      <c r="H4" s="1"/>
      <c r="I4" s="1"/>
    </row>
    <row r="5" spans="1:9">
      <c r="A5" s="12" t="s">
        <v>11</v>
      </c>
      <c r="B5" s="31">
        <v>400</v>
      </c>
      <c r="C5" s="12"/>
      <c r="D5" s="12" t="s">
        <v>164</v>
      </c>
      <c r="E5" s="7">
        <v>25</v>
      </c>
      <c r="F5" s="6">
        <f t="shared" ref="F5:F17" si="0">(B5*E5)/1000</f>
        <v>10</v>
      </c>
      <c r="G5" s="1"/>
      <c r="H5" s="1"/>
      <c r="I5" s="1"/>
    </row>
    <row r="6" spans="1:9">
      <c r="A6" s="12"/>
      <c r="B6" s="31">
        <v>400</v>
      </c>
      <c r="C6" s="12"/>
      <c r="D6" s="12" t="s">
        <v>10</v>
      </c>
      <c r="E6" s="7">
        <v>10</v>
      </c>
      <c r="F6" s="6">
        <f t="shared" si="0"/>
        <v>4</v>
      </c>
      <c r="G6" s="1"/>
      <c r="H6" s="1"/>
      <c r="I6" s="1"/>
    </row>
    <row r="7" spans="1:9">
      <c r="A7" s="1"/>
      <c r="B7" s="31">
        <v>400</v>
      </c>
      <c r="C7" s="12"/>
      <c r="D7" s="12" t="s">
        <v>165</v>
      </c>
      <c r="E7" s="7">
        <v>2</v>
      </c>
      <c r="F7" s="6">
        <f t="shared" si="0"/>
        <v>0.8</v>
      </c>
      <c r="G7" s="1"/>
      <c r="H7" s="1"/>
      <c r="I7" s="1"/>
    </row>
    <row r="8" spans="1:9">
      <c r="A8" s="1"/>
      <c r="B8" s="31">
        <v>400</v>
      </c>
      <c r="C8" s="12" t="s">
        <v>166</v>
      </c>
      <c r="D8" s="12" t="s">
        <v>167</v>
      </c>
      <c r="E8" s="7">
        <v>90</v>
      </c>
      <c r="F8" s="6">
        <f t="shared" si="0"/>
        <v>36</v>
      </c>
      <c r="G8" s="1"/>
      <c r="H8" s="1"/>
      <c r="I8" s="1"/>
    </row>
    <row r="9" spans="1:9">
      <c r="A9" s="1"/>
      <c r="B9" s="31">
        <v>400</v>
      </c>
      <c r="C9" s="12"/>
      <c r="D9" s="12" t="s">
        <v>168</v>
      </c>
      <c r="E9" s="7">
        <v>50</v>
      </c>
      <c r="F9" s="6">
        <f t="shared" si="0"/>
        <v>20</v>
      </c>
      <c r="G9" s="1"/>
      <c r="H9" s="1"/>
      <c r="I9" s="1"/>
    </row>
    <row r="10" spans="1:9">
      <c r="A10" s="1"/>
      <c r="B10" s="31">
        <v>400</v>
      </c>
      <c r="C10" s="12"/>
      <c r="D10" s="12" t="s">
        <v>41</v>
      </c>
      <c r="E10" s="7">
        <v>30</v>
      </c>
      <c r="F10" s="6">
        <f t="shared" si="0"/>
        <v>12</v>
      </c>
      <c r="G10" s="1"/>
      <c r="H10" s="1"/>
      <c r="I10" s="1"/>
    </row>
    <row r="11" spans="1:9">
      <c r="A11" s="1"/>
      <c r="B11" s="31">
        <v>400</v>
      </c>
      <c r="C11" s="12"/>
      <c r="D11" s="23" t="s">
        <v>240</v>
      </c>
      <c r="E11" s="7">
        <v>20</v>
      </c>
      <c r="F11" s="6">
        <f t="shared" si="0"/>
        <v>8</v>
      </c>
      <c r="G11" s="1"/>
      <c r="H11" s="1"/>
      <c r="I11" s="1"/>
    </row>
    <row r="12" spans="1:9">
      <c r="A12" s="1"/>
      <c r="B12" s="31">
        <v>400</v>
      </c>
      <c r="C12" s="12"/>
      <c r="D12" s="12" t="s">
        <v>133</v>
      </c>
      <c r="E12" s="7">
        <v>20</v>
      </c>
      <c r="F12" s="6">
        <f t="shared" si="0"/>
        <v>8</v>
      </c>
      <c r="G12" s="1"/>
      <c r="H12" s="1"/>
      <c r="I12" s="1"/>
    </row>
    <row r="13" spans="1:9">
      <c r="A13" s="1"/>
      <c r="B13" s="31">
        <v>400</v>
      </c>
      <c r="C13" s="12"/>
      <c r="D13" s="12" t="s">
        <v>10</v>
      </c>
      <c r="E13" s="7">
        <v>20</v>
      </c>
      <c r="F13" s="6">
        <f t="shared" si="0"/>
        <v>8</v>
      </c>
      <c r="G13" s="1"/>
      <c r="H13" s="1"/>
      <c r="I13" s="1"/>
    </row>
    <row r="14" spans="1:9">
      <c r="A14" s="1"/>
      <c r="B14" s="31">
        <v>400</v>
      </c>
      <c r="C14" s="31" t="s">
        <v>301</v>
      </c>
      <c r="D14" s="31" t="s">
        <v>302</v>
      </c>
      <c r="E14" s="7">
        <v>80</v>
      </c>
      <c r="F14" s="6">
        <f t="shared" si="0"/>
        <v>32</v>
      </c>
      <c r="G14" s="1"/>
      <c r="H14" s="1"/>
      <c r="I14" s="1"/>
    </row>
    <row r="15" spans="1:9">
      <c r="A15" s="1"/>
      <c r="B15" s="31">
        <v>400</v>
      </c>
      <c r="C15" s="31" t="s">
        <v>8</v>
      </c>
      <c r="D15" s="31" t="s">
        <v>8</v>
      </c>
      <c r="E15" s="7">
        <v>40</v>
      </c>
      <c r="F15" s="6">
        <f t="shared" si="0"/>
        <v>16</v>
      </c>
      <c r="G15" s="1"/>
      <c r="H15" s="1"/>
      <c r="I15" s="1"/>
    </row>
    <row r="16" spans="1:9">
      <c r="A16" s="2"/>
      <c r="B16" s="2"/>
      <c r="C16" s="2"/>
      <c r="D16" s="2"/>
      <c r="E16" s="2"/>
      <c r="F16" s="25"/>
      <c r="G16" s="2"/>
      <c r="H16" s="1"/>
      <c r="I16" s="1"/>
    </row>
    <row r="17" spans="1:9">
      <c r="A17" s="3">
        <v>41923</v>
      </c>
      <c r="B17" s="12">
        <v>100</v>
      </c>
      <c r="C17" s="12" t="s">
        <v>170</v>
      </c>
      <c r="D17" s="12" t="s">
        <v>171</v>
      </c>
      <c r="E17" s="7">
        <v>80</v>
      </c>
      <c r="F17" s="6">
        <f t="shared" si="0"/>
        <v>8</v>
      </c>
      <c r="G17" s="1"/>
      <c r="H17" s="1"/>
      <c r="I17" s="1"/>
    </row>
    <row r="18" spans="1:9">
      <c r="A18" s="12" t="s">
        <v>169</v>
      </c>
      <c r="B18" s="12">
        <v>100</v>
      </c>
      <c r="C18" s="12"/>
      <c r="D18" s="12" t="s">
        <v>172</v>
      </c>
      <c r="E18" s="7">
        <v>30</v>
      </c>
      <c r="F18" s="5">
        <f t="shared" ref="F18:F26" si="1">(B18*E18)/1000</f>
        <v>3</v>
      </c>
      <c r="G18" s="1"/>
      <c r="H18" s="1"/>
      <c r="I18" s="1"/>
    </row>
    <row r="19" spans="1:9">
      <c r="A19" s="12" t="s">
        <v>2</v>
      </c>
      <c r="B19" s="12">
        <v>100</v>
      </c>
      <c r="C19" s="12"/>
      <c r="D19" s="12" t="s">
        <v>85</v>
      </c>
      <c r="E19" s="7">
        <v>10</v>
      </c>
      <c r="F19" s="5">
        <f t="shared" si="1"/>
        <v>1</v>
      </c>
      <c r="G19" s="1"/>
      <c r="H19" s="1"/>
      <c r="I19" s="1"/>
    </row>
    <row r="20" spans="1:9">
      <c r="A20" s="1"/>
      <c r="B20" s="12">
        <v>100</v>
      </c>
      <c r="C20" s="12"/>
      <c r="D20" s="12" t="s">
        <v>66</v>
      </c>
      <c r="E20" s="7">
        <v>10</v>
      </c>
      <c r="F20" s="5">
        <f t="shared" si="1"/>
        <v>1</v>
      </c>
      <c r="G20" s="1"/>
      <c r="H20" s="1"/>
      <c r="I20" s="1"/>
    </row>
    <row r="21" spans="1:9">
      <c r="A21" s="1"/>
      <c r="B21" s="12">
        <v>100</v>
      </c>
      <c r="C21" s="12"/>
      <c r="D21" s="12" t="s">
        <v>10</v>
      </c>
      <c r="E21" s="7">
        <v>10</v>
      </c>
      <c r="F21" s="5">
        <f t="shared" si="1"/>
        <v>1</v>
      </c>
      <c r="G21" s="1"/>
      <c r="H21" s="1"/>
      <c r="I21" s="1"/>
    </row>
    <row r="22" spans="1:9">
      <c r="A22" s="1"/>
      <c r="B22" s="12">
        <v>100</v>
      </c>
      <c r="C22" s="12" t="s">
        <v>173</v>
      </c>
      <c r="D22" s="12" t="s">
        <v>229</v>
      </c>
      <c r="E22" s="7">
        <v>150</v>
      </c>
      <c r="F22" s="5">
        <f t="shared" si="1"/>
        <v>15</v>
      </c>
      <c r="G22" s="1"/>
      <c r="H22" s="1"/>
      <c r="I22" s="1"/>
    </row>
    <row r="23" spans="1:9">
      <c r="A23" s="1"/>
      <c r="B23" s="12">
        <v>100</v>
      </c>
      <c r="C23" s="12"/>
      <c r="D23" s="12" t="s">
        <v>68</v>
      </c>
      <c r="E23" s="7">
        <v>10</v>
      </c>
      <c r="F23" s="5">
        <f t="shared" si="1"/>
        <v>1</v>
      </c>
      <c r="G23" s="1"/>
      <c r="H23" s="1"/>
      <c r="I23" s="1"/>
    </row>
    <row r="24" spans="1:9">
      <c r="A24" s="1"/>
      <c r="B24" s="12">
        <v>100</v>
      </c>
      <c r="C24" s="12" t="s">
        <v>174</v>
      </c>
      <c r="D24" s="12" t="s">
        <v>175</v>
      </c>
      <c r="E24" s="7">
        <v>40</v>
      </c>
      <c r="F24" s="6">
        <f t="shared" si="1"/>
        <v>4</v>
      </c>
      <c r="G24" s="1"/>
      <c r="H24" s="1"/>
      <c r="I24" s="1"/>
    </row>
    <row r="25" spans="1:9">
      <c r="A25" s="1"/>
      <c r="B25" s="12">
        <v>100</v>
      </c>
      <c r="C25" s="12"/>
      <c r="D25" s="12" t="s">
        <v>10</v>
      </c>
      <c r="E25" s="7">
        <v>20</v>
      </c>
      <c r="F25" s="6">
        <f t="shared" si="1"/>
        <v>2</v>
      </c>
      <c r="G25" s="1"/>
      <c r="H25" s="1"/>
      <c r="I25" s="1"/>
    </row>
    <row r="26" spans="1:9">
      <c r="A26" s="1"/>
      <c r="B26" s="12">
        <v>100</v>
      </c>
      <c r="C26" s="12" t="s">
        <v>8</v>
      </c>
      <c r="D26" s="12" t="s">
        <v>8</v>
      </c>
      <c r="E26" s="7">
        <v>40</v>
      </c>
      <c r="F26" s="5">
        <f t="shared" si="1"/>
        <v>4</v>
      </c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>
        <v>41923</v>
      </c>
      <c r="B28" s="12">
        <v>250</v>
      </c>
      <c r="C28" s="12" t="s">
        <v>19</v>
      </c>
      <c r="D28" s="23" t="s">
        <v>244</v>
      </c>
      <c r="E28" s="7">
        <v>2</v>
      </c>
      <c r="F28" s="5">
        <f>(B28*E28)/1000</f>
        <v>0.5</v>
      </c>
      <c r="G28" s="1"/>
      <c r="H28" s="1"/>
      <c r="I28" s="1"/>
    </row>
    <row r="29" spans="1:9">
      <c r="A29" s="24" t="s">
        <v>245</v>
      </c>
      <c r="B29" s="12">
        <v>250</v>
      </c>
      <c r="C29" s="31" t="s">
        <v>303</v>
      </c>
      <c r="D29" s="31" t="s">
        <v>304</v>
      </c>
      <c r="E29" s="7">
        <v>20</v>
      </c>
      <c r="F29" s="5">
        <f t="shared" ref="F29:F37" si="2">(B29*E29)/1000</f>
        <v>5</v>
      </c>
      <c r="G29" s="1"/>
      <c r="H29" s="1"/>
      <c r="I29" s="1"/>
    </row>
    <row r="30" spans="1:9">
      <c r="A30" s="12" t="s">
        <v>246</v>
      </c>
      <c r="B30" s="12">
        <v>250</v>
      </c>
      <c r="C30" s="12"/>
      <c r="D30" s="31" t="s">
        <v>12</v>
      </c>
      <c r="E30" s="7">
        <v>30</v>
      </c>
      <c r="F30" s="5">
        <f t="shared" si="2"/>
        <v>7.5</v>
      </c>
      <c r="G30" s="1"/>
      <c r="H30" s="1"/>
      <c r="I30" s="1"/>
    </row>
    <row r="31" spans="1:9">
      <c r="A31" s="1"/>
      <c r="B31" s="12">
        <v>250</v>
      </c>
      <c r="C31" s="12"/>
      <c r="D31" s="31" t="s">
        <v>38</v>
      </c>
      <c r="E31" s="7">
        <v>2</v>
      </c>
      <c r="F31" s="5">
        <f t="shared" si="2"/>
        <v>0.5</v>
      </c>
      <c r="G31" s="1"/>
      <c r="H31" s="1"/>
      <c r="I31" s="1"/>
    </row>
    <row r="32" spans="1:9">
      <c r="A32" s="1"/>
      <c r="B32" s="12">
        <v>250</v>
      </c>
      <c r="C32" s="31" t="s">
        <v>305</v>
      </c>
      <c r="D32" s="12" t="s">
        <v>177</v>
      </c>
      <c r="E32" s="7">
        <v>100</v>
      </c>
      <c r="F32" s="5">
        <f t="shared" si="2"/>
        <v>25</v>
      </c>
      <c r="G32" s="1"/>
      <c r="H32" s="1"/>
      <c r="I32" s="1"/>
    </row>
    <row r="33" spans="1:9">
      <c r="A33" s="1"/>
      <c r="B33" s="12">
        <v>250</v>
      </c>
      <c r="C33" s="12"/>
      <c r="D33" s="31" t="s">
        <v>30</v>
      </c>
      <c r="E33" s="7">
        <v>20</v>
      </c>
      <c r="F33" s="5">
        <f t="shared" si="2"/>
        <v>5</v>
      </c>
      <c r="G33" s="1"/>
      <c r="H33" s="1"/>
      <c r="I33" s="1"/>
    </row>
    <row r="34" spans="1:9">
      <c r="A34" s="1"/>
      <c r="B34" s="31">
        <v>250</v>
      </c>
      <c r="C34" s="31"/>
      <c r="D34" s="31" t="s">
        <v>306</v>
      </c>
      <c r="E34" s="7">
        <v>10</v>
      </c>
      <c r="F34" s="5">
        <f t="shared" si="2"/>
        <v>2.5</v>
      </c>
      <c r="G34" s="1"/>
      <c r="H34" s="1"/>
      <c r="I34" s="1"/>
    </row>
    <row r="35" spans="1:9">
      <c r="A35" s="1"/>
      <c r="B35" s="12">
        <v>250</v>
      </c>
      <c r="C35" s="12" t="s">
        <v>176</v>
      </c>
      <c r="D35" s="12" t="s">
        <v>178</v>
      </c>
      <c r="E35" s="7">
        <v>50</v>
      </c>
      <c r="F35" s="5">
        <f t="shared" si="2"/>
        <v>12.5</v>
      </c>
      <c r="G35" s="1"/>
      <c r="H35" s="1"/>
      <c r="I35" s="1"/>
    </row>
    <row r="36" spans="1:9">
      <c r="A36" s="1"/>
      <c r="B36" s="12">
        <v>250</v>
      </c>
      <c r="C36" s="12"/>
      <c r="D36" s="12" t="s">
        <v>10</v>
      </c>
      <c r="E36" s="7">
        <v>10</v>
      </c>
      <c r="F36" s="5">
        <f t="shared" si="2"/>
        <v>2.5</v>
      </c>
      <c r="G36" s="1"/>
      <c r="H36" s="1"/>
      <c r="I36" s="1"/>
    </row>
    <row r="37" spans="1:9">
      <c r="A37" s="1"/>
      <c r="B37" s="12">
        <v>250</v>
      </c>
      <c r="C37" s="12" t="s">
        <v>106</v>
      </c>
      <c r="D37" s="12" t="s">
        <v>106</v>
      </c>
      <c r="E37" s="7">
        <v>40</v>
      </c>
      <c r="F37" s="5">
        <f t="shared" si="2"/>
        <v>10</v>
      </c>
      <c r="G37" s="1"/>
      <c r="H37" s="1"/>
      <c r="I37" s="1"/>
    </row>
    <row r="38" spans="1:9">
      <c r="A38" s="2"/>
      <c r="B38" s="15"/>
      <c r="C38" s="18"/>
      <c r="D38" s="15"/>
      <c r="E38" s="16"/>
      <c r="F38" s="17"/>
      <c r="G38" s="2"/>
      <c r="H38" s="1"/>
      <c r="I38" s="1"/>
    </row>
    <row r="39" spans="1:9">
      <c r="A39" s="1"/>
      <c r="B39" s="12"/>
      <c r="C39" s="12"/>
      <c r="D39" s="12"/>
      <c r="E39" s="7"/>
      <c r="F39" s="5"/>
      <c r="G39" s="1"/>
      <c r="H39" s="1"/>
      <c r="I39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0"/>
  <sheetViews>
    <sheetView topLeftCell="A13" workbookViewId="0">
      <selection activeCell="F39" sqref="F39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5" t="s">
        <v>307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13" t="s">
        <v>0</v>
      </c>
      <c r="B2" s="13" t="s">
        <v>3</v>
      </c>
      <c r="C2" s="13" t="s">
        <v>4</v>
      </c>
      <c r="D2" s="13" t="s">
        <v>5</v>
      </c>
      <c r="E2" s="13" t="s">
        <v>17</v>
      </c>
      <c r="F2" s="13" t="s">
        <v>6</v>
      </c>
      <c r="G2" s="13" t="s">
        <v>7</v>
      </c>
      <c r="H2" s="13"/>
      <c r="I2" s="13"/>
    </row>
    <row r="3" spans="1:9">
      <c r="A3" s="3">
        <v>41923</v>
      </c>
      <c r="B3" s="13">
        <v>250</v>
      </c>
      <c r="C3" s="13" t="s">
        <v>180</v>
      </c>
      <c r="D3" s="13" t="s">
        <v>183</v>
      </c>
      <c r="E3" s="7">
        <v>2</v>
      </c>
      <c r="F3" s="5">
        <f>(B3*E3)/1000</f>
        <v>0.5</v>
      </c>
      <c r="G3" s="1"/>
      <c r="H3" s="1"/>
      <c r="I3" s="1"/>
    </row>
    <row r="4" spans="1:9">
      <c r="A4" s="13" t="s">
        <v>179</v>
      </c>
      <c r="B4" s="13">
        <v>250</v>
      </c>
      <c r="C4" s="13" t="s">
        <v>181</v>
      </c>
      <c r="D4" s="13" t="s">
        <v>184</v>
      </c>
      <c r="E4" s="7">
        <v>25</v>
      </c>
      <c r="F4" s="6">
        <f>(B4*E4)/1000</f>
        <v>6.25</v>
      </c>
      <c r="G4" s="1"/>
      <c r="H4" s="1"/>
      <c r="I4" s="1"/>
    </row>
    <row r="5" spans="1:9">
      <c r="A5" s="13" t="s">
        <v>11</v>
      </c>
      <c r="B5" s="13">
        <v>250</v>
      </c>
      <c r="C5" s="13"/>
      <c r="D5" s="13" t="s">
        <v>185</v>
      </c>
      <c r="E5" s="7">
        <v>10</v>
      </c>
      <c r="F5" s="6">
        <f t="shared" ref="F5:F14" si="0">(B5*E5)/1000</f>
        <v>2.5</v>
      </c>
      <c r="G5" s="1"/>
      <c r="H5" s="1"/>
      <c r="I5" s="1"/>
    </row>
    <row r="6" spans="1:9">
      <c r="A6" s="13"/>
      <c r="B6" s="13">
        <v>250</v>
      </c>
      <c r="C6" s="13"/>
      <c r="D6" s="13" t="s">
        <v>186</v>
      </c>
      <c r="E6" s="7">
        <v>2</v>
      </c>
      <c r="F6" s="6">
        <f t="shared" si="0"/>
        <v>0.5</v>
      </c>
      <c r="G6" s="1"/>
      <c r="H6" s="1"/>
      <c r="I6" s="1"/>
    </row>
    <row r="7" spans="1:9">
      <c r="A7" s="1"/>
      <c r="B7" s="13">
        <v>250</v>
      </c>
      <c r="C7" s="13" t="s">
        <v>182</v>
      </c>
      <c r="D7" s="13" t="s">
        <v>187</v>
      </c>
      <c r="E7" s="7">
        <v>80</v>
      </c>
      <c r="F7" s="6">
        <f t="shared" si="0"/>
        <v>20</v>
      </c>
      <c r="G7" s="1"/>
      <c r="H7" s="1"/>
      <c r="I7" s="1"/>
    </row>
    <row r="8" spans="1:9">
      <c r="A8" s="1"/>
      <c r="B8" s="13">
        <v>250</v>
      </c>
      <c r="C8" s="13"/>
      <c r="D8" s="13" t="s">
        <v>95</v>
      </c>
      <c r="E8" s="7">
        <v>10</v>
      </c>
      <c r="F8" s="6">
        <f t="shared" si="0"/>
        <v>2.5</v>
      </c>
      <c r="G8" s="1"/>
      <c r="H8" s="1"/>
      <c r="I8" s="1"/>
    </row>
    <row r="9" spans="1:9">
      <c r="A9" s="1"/>
      <c r="B9" s="13">
        <v>250</v>
      </c>
      <c r="C9" s="13"/>
      <c r="D9" s="13" t="s">
        <v>188</v>
      </c>
      <c r="E9" s="7">
        <v>10</v>
      </c>
      <c r="F9" s="6">
        <f t="shared" si="0"/>
        <v>2.5</v>
      </c>
      <c r="G9" s="1"/>
      <c r="H9" s="1"/>
      <c r="I9" s="1"/>
    </row>
    <row r="10" spans="1:9">
      <c r="A10" s="1"/>
      <c r="B10" s="13">
        <v>250</v>
      </c>
      <c r="C10" s="13"/>
      <c r="D10" s="13" t="s">
        <v>185</v>
      </c>
      <c r="E10" s="7">
        <v>10</v>
      </c>
      <c r="F10" s="6">
        <f t="shared" si="0"/>
        <v>2.5</v>
      </c>
      <c r="G10" s="1"/>
      <c r="H10" s="1"/>
      <c r="I10" s="1"/>
    </row>
    <row r="11" spans="1:9">
      <c r="A11" s="1"/>
      <c r="B11" s="13">
        <v>250</v>
      </c>
      <c r="C11" s="13"/>
      <c r="D11" s="23" t="s">
        <v>233</v>
      </c>
      <c r="E11" s="7">
        <v>20</v>
      </c>
      <c r="F11" s="6">
        <f t="shared" si="0"/>
        <v>5</v>
      </c>
      <c r="G11" s="1" t="s">
        <v>234</v>
      </c>
      <c r="H11" s="1"/>
      <c r="I11" s="1"/>
    </row>
    <row r="12" spans="1:9">
      <c r="A12" s="1"/>
      <c r="B12" s="13">
        <v>250</v>
      </c>
      <c r="C12" s="13" t="s">
        <v>189</v>
      </c>
      <c r="D12" s="13" t="s">
        <v>190</v>
      </c>
      <c r="E12" s="7">
        <v>30</v>
      </c>
      <c r="F12" s="6">
        <f t="shared" si="0"/>
        <v>7.5</v>
      </c>
      <c r="G12" s="1"/>
      <c r="H12" s="1"/>
      <c r="I12" s="1"/>
    </row>
    <row r="13" spans="1:9">
      <c r="A13" s="1"/>
      <c r="B13" s="13">
        <v>250</v>
      </c>
      <c r="C13" s="13"/>
      <c r="D13" s="13" t="s">
        <v>191</v>
      </c>
      <c r="E13" s="7">
        <v>4</v>
      </c>
      <c r="F13" s="6">
        <f t="shared" si="0"/>
        <v>1</v>
      </c>
      <c r="G13" s="1"/>
      <c r="H13" s="1"/>
      <c r="I13" s="1"/>
    </row>
    <row r="14" spans="1:9">
      <c r="A14" s="1"/>
      <c r="B14" s="13">
        <v>250</v>
      </c>
      <c r="C14" s="13" t="s">
        <v>96</v>
      </c>
      <c r="D14" s="13" t="s">
        <v>96</v>
      </c>
      <c r="E14" s="7">
        <v>40</v>
      </c>
      <c r="F14" s="6">
        <f t="shared" si="0"/>
        <v>10</v>
      </c>
      <c r="G14" s="1"/>
      <c r="H14" s="1"/>
      <c r="I14" s="1"/>
    </row>
    <row r="15" spans="1:9">
      <c r="A15" s="2"/>
      <c r="B15" s="2"/>
      <c r="C15" s="2"/>
      <c r="D15" s="2"/>
      <c r="E15" s="2"/>
      <c r="F15" s="2"/>
      <c r="G15" s="2"/>
      <c r="H15" s="1"/>
      <c r="I15" s="1"/>
    </row>
    <row r="16" spans="1:9">
      <c r="A16" s="3">
        <v>41924</v>
      </c>
      <c r="B16" s="13">
        <v>200</v>
      </c>
      <c r="C16" s="31" t="s">
        <v>308</v>
      </c>
      <c r="D16" s="31" t="s">
        <v>308</v>
      </c>
      <c r="E16" s="7">
        <v>80</v>
      </c>
      <c r="F16" s="6" t="s">
        <v>235</v>
      </c>
      <c r="G16" s="1"/>
      <c r="H16" s="1"/>
      <c r="I16" s="1"/>
    </row>
    <row r="17" spans="1:9">
      <c r="A17" s="13" t="s">
        <v>192</v>
      </c>
      <c r="B17" s="13">
        <v>200</v>
      </c>
      <c r="C17" s="13" t="s">
        <v>193</v>
      </c>
      <c r="D17" s="13" t="s">
        <v>193</v>
      </c>
      <c r="E17" s="7">
        <v>200</v>
      </c>
      <c r="F17" s="6" t="s">
        <v>236</v>
      </c>
      <c r="G17" s="1"/>
      <c r="H17" s="1"/>
      <c r="I17" s="1"/>
    </row>
    <row r="18" spans="1:9">
      <c r="A18" s="13" t="s">
        <v>2</v>
      </c>
      <c r="B18" s="13">
        <v>200</v>
      </c>
      <c r="C18" s="13" t="s">
        <v>194</v>
      </c>
      <c r="D18" s="13" t="s">
        <v>201</v>
      </c>
      <c r="E18" s="7">
        <v>30</v>
      </c>
      <c r="F18" s="5">
        <f t="shared" ref="F18:F26" si="1">(B18*E18)/1000</f>
        <v>6</v>
      </c>
      <c r="G18" s="1"/>
      <c r="H18" s="1"/>
      <c r="I18" s="1"/>
    </row>
    <row r="19" spans="1:9">
      <c r="A19" s="1"/>
      <c r="B19" s="13">
        <v>200</v>
      </c>
      <c r="C19" s="13" t="s">
        <v>195</v>
      </c>
      <c r="D19" s="13" t="s">
        <v>196</v>
      </c>
      <c r="E19" s="7">
        <v>70</v>
      </c>
      <c r="F19" s="5">
        <f t="shared" si="1"/>
        <v>14</v>
      </c>
      <c r="G19" s="1"/>
      <c r="H19" s="1"/>
      <c r="I19" s="1"/>
    </row>
    <row r="20" spans="1:9">
      <c r="A20" s="1"/>
      <c r="B20" s="13">
        <v>200</v>
      </c>
      <c r="C20" s="13"/>
      <c r="D20" s="13" t="s">
        <v>197</v>
      </c>
      <c r="E20" s="7">
        <v>35</v>
      </c>
      <c r="F20" s="5">
        <f t="shared" si="1"/>
        <v>7</v>
      </c>
      <c r="G20" s="1"/>
      <c r="H20" s="1"/>
      <c r="I20" s="1"/>
    </row>
    <row r="21" spans="1:9">
      <c r="A21" s="1"/>
      <c r="B21" s="13">
        <v>200</v>
      </c>
      <c r="C21" s="13"/>
      <c r="D21" s="13" t="s">
        <v>121</v>
      </c>
      <c r="E21" s="7">
        <v>20</v>
      </c>
      <c r="F21" s="5">
        <f t="shared" si="1"/>
        <v>4</v>
      </c>
      <c r="G21" s="1"/>
      <c r="H21" s="1"/>
      <c r="I21" s="1"/>
    </row>
    <row r="22" spans="1:9">
      <c r="A22" s="1"/>
      <c r="B22" s="22">
        <v>200</v>
      </c>
      <c r="C22" s="22"/>
      <c r="D22" s="22" t="s">
        <v>230</v>
      </c>
      <c r="E22" s="7">
        <v>20</v>
      </c>
      <c r="F22" s="5">
        <f t="shared" si="1"/>
        <v>4</v>
      </c>
      <c r="G22" s="1"/>
      <c r="H22" s="1"/>
      <c r="I22" s="1"/>
    </row>
    <row r="23" spans="1:9">
      <c r="A23" s="1"/>
      <c r="B23" s="13">
        <v>200</v>
      </c>
      <c r="C23" s="13"/>
      <c r="D23" s="13" t="s">
        <v>198</v>
      </c>
      <c r="E23" s="7">
        <v>20</v>
      </c>
      <c r="F23" s="5">
        <f t="shared" si="1"/>
        <v>4</v>
      </c>
      <c r="G23" s="1"/>
      <c r="H23" s="1"/>
      <c r="I23" s="1"/>
    </row>
    <row r="24" spans="1:9">
      <c r="A24" s="1"/>
      <c r="B24" s="13">
        <v>200</v>
      </c>
      <c r="C24" s="13"/>
      <c r="D24" s="13" t="s">
        <v>199</v>
      </c>
      <c r="E24" s="7">
        <v>20</v>
      </c>
      <c r="F24" s="5">
        <f t="shared" si="1"/>
        <v>4</v>
      </c>
      <c r="G24" s="1"/>
      <c r="H24" s="1"/>
      <c r="I24" s="1"/>
    </row>
    <row r="25" spans="1:9">
      <c r="A25" s="1"/>
      <c r="B25" s="13">
        <v>200</v>
      </c>
      <c r="C25" s="13"/>
      <c r="D25" s="31" t="s">
        <v>309</v>
      </c>
      <c r="E25" s="7">
        <v>30</v>
      </c>
      <c r="F25" s="5">
        <f t="shared" si="1"/>
        <v>6</v>
      </c>
      <c r="G25" s="1"/>
      <c r="H25" s="1"/>
      <c r="I25" s="1"/>
    </row>
    <row r="26" spans="1:9">
      <c r="A26" s="1"/>
      <c r="B26" s="13">
        <v>200</v>
      </c>
      <c r="C26" s="13" t="s">
        <v>159</v>
      </c>
      <c r="D26" s="13" t="s">
        <v>200</v>
      </c>
      <c r="E26" s="7">
        <v>100</v>
      </c>
      <c r="F26" s="6">
        <f t="shared" si="1"/>
        <v>20</v>
      </c>
      <c r="G26" s="1"/>
      <c r="H26" s="1"/>
      <c r="I26" s="1"/>
    </row>
    <row r="27" spans="1:9">
      <c r="A27" s="2"/>
      <c r="B27" s="2"/>
      <c r="C27" s="2"/>
      <c r="D27" s="2"/>
      <c r="E27" s="2"/>
      <c r="F27" s="2"/>
      <c r="G27" s="2"/>
      <c r="H27" s="1"/>
      <c r="I27" s="1"/>
    </row>
    <row r="28" spans="1:9">
      <c r="A28" s="3">
        <v>41924</v>
      </c>
      <c r="B28" s="13">
        <v>280</v>
      </c>
      <c r="C28" s="13" t="s">
        <v>202</v>
      </c>
      <c r="D28" s="13" t="s">
        <v>203</v>
      </c>
      <c r="E28" s="7">
        <v>2</v>
      </c>
      <c r="F28" s="5">
        <f>(B28*E28)/1000</f>
        <v>0.56000000000000005</v>
      </c>
      <c r="G28" s="1"/>
      <c r="H28" s="1"/>
      <c r="I28" s="1"/>
    </row>
    <row r="29" spans="1:9">
      <c r="A29" s="13" t="s">
        <v>192</v>
      </c>
      <c r="B29" s="13">
        <v>280</v>
      </c>
      <c r="C29" s="13" t="s">
        <v>204</v>
      </c>
      <c r="D29" s="23" t="s">
        <v>237</v>
      </c>
      <c r="E29" s="7">
        <v>60</v>
      </c>
      <c r="F29" s="5">
        <f t="shared" ref="F29:F39" si="2">(B29*E29)/1000</f>
        <v>16.8</v>
      </c>
      <c r="G29" s="1"/>
      <c r="H29" s="1"/>
      <c r="I29" s="1"/>
    </row>
    <row r="30" spans="1:9">
      <c r="A30" s="23" t="s">
        <v>238</v>
      </c>
      <c r="B30" s="23">
        <v>280</v>
      </c>
      <c r="C30" s="23"/>
      <c r="D30" s="23" t="s">
        <v>239</v>
      </c>
      <c r="E30" s="7">
        <v>10</v>
      </c>
      <c r="F30" s="5">
        <f t="shared" si="2"/>
        <v>2.8</v>
      </c>
      <c r="G30" s="1"/>
      <c r="H30" s="1"/>
      <c r="I30" s="1"/>
    </row>
    <row r="31" spans="1:9">
      <c r="A31" s="13"/>
      <c r="B31" s="13">
        <v>280</v>
      </c>
      <c r="C31" s="13"/>
      <c r="D31" s="13" t="s">
        <v>207</v>
      </c>
      <c r="E31" s="7">
        <v>20</v>
      </c>
      <c r="F31" s="5">
        <f t="shared" si="2"/>
        <v>5.6</v>
      </c>
      <c r="G31" s="1"/>
      <c r="H31" s="1"/>
      <c r="I31" s="1"/>
    </row>
    <row r="32" spans="1:9">
      <c r="A32" s="1"/>
      <c r="B32" s="13">
        <v>280</v>
      </c>
      <c r="C32" s="13"/>
      <c r="D32" s="23" t="s">
        <v>232</v>
      </c>
      <c r="E32" s="7">
        <v>10</v>
      </c>
      <c r="F32" s="5">
        <f t="shared" si="2"/>
        <v>2.8</v>
      </c>
      <c r="G32" s="1"/>
      <c r="H32" s="1"/>
      <c r="I32" s="1"/>
    </row>
    <row r="33" spans="1:9">
      <c r="A33" s="1"/>
      <c r="B33" s="13">
        <v>280</v>
      </c>
      <c r="C33" s="13"/>
      <c r="D33" s="13" t="s">
        <v>208</v>
      </c>
      <c r="E33" s="7">
        <v>15</v>
      </c>
      <c r="F33" s="5">
        <f t="shared" si="2"/>
        <v>4.2</v>
      </c>
      <c r="G33" s="1"/>
      <c r="H33" s="1"/>
      <c r="I33" s="1"/>
    </row>
    <row r="34" spans="1:9">
      <c r="A34" s="1"/>
      <c r="B34" s="13">
        <v>280</v>
      </c>
      <c r="C34" s="13" t="s">
        <v>205</v>
      </c>
      <c r="D34" s="13" t="s">
        <v>209</v>
      </c>
      <c r="E34" s="7">
        <v>60</v>
      </c>
      <c r="F34" s="5">
        <f t="shared" si="2"/>
        <v>16.8</v>
      </c>
      <c r="G34" s="1"/>
      <c r="H34" s="1"/>
      <c r="I34" s="1"/>
    </row>
    <row r="35" spans="1:9">
      <c r="A35" s="1"/>
      <c r="B35" s="13">
        <v>280</v>
      </c>
      <c r="C35" s="13"/>
      <c r="D35" s="13" t="s">
        <v>10</v>
      </c>
      <c r="E35" s="7">
        <v>20</v>
      </c>
      <c r="F35" s="5">
        <f t="shared" si="2"/>
        <v>5.6</v>
      </c>
      <c r="G35" s="1"/>
      <c r="H35" s="1"/>
      <c r="I35" s="1"/>
    </row>
    <row r="36" spans="1:9">
      <c r="A36" s="1"/>
      <c r="B36" s="13">
        <v>280</v>
      </c>
      <c r="C36" s="13"/>
      <c r="D36" s="13" t="s">
        <v>210</v>
      </c>
      <c r="E36" s="7">
        <v>5</v>
      </c>
      <c r="F36" s="5">
        <f t="shared" si="2"/>
        <v>1.4</v>
      </c>
      <c r="G36" s="1"/>
      <c r="H36" s="1"/>
      <c r="I36" s="1"/>
    </row>
    <row r="37" spans="1:9">
      <c r="A37" s="1"/>
      <c r="B37" s="13">
        <v>280</v>
      </c>
      <c r="C37" s="13" t="s">
        <v>206</v>
      </c>
      <c r="D37" s="13" t="s">
        <v>211</v>
      </c>
      <c r="E37" s="7">
        <v>50</v>
      </c>
      <c r="F37" s="5">
        <f t="shared" si="2"/>
        <v>14</v>
      </c>
      <c r="G37" s="1"/>
      <c r="H37" s="1"/>
      <c r="I37" s="1"/>
    </row>
    <row r="38" spans="1:9">
      <c r="A38" s="1"/>
      <c r="B38" s="13">
        <v>280</v>
      </c>
      <c r="C38" s="13"/>
      <c r="D38" s="13" t="s">
        <v>210</v>
      </c>
      <c r="E38" s="7">
        <v>5</v>
      </c>
      <c r="F38" s="5">
        <f t="shared" si="2"/>
        <v>1.4</v>
      </c>
      <c r="G38" s="1"/>
      <c r="H38" s="1"/>
      <c r="I38" s="1"/>
    </row>
    <row r="39" spans="1:9">
      <c r="A39" s="1"/>
      <c r="B39" s="13">
        <v>280</v>
      </c>
      <c r="C39" s="31" t="s">
        <v>8</v>
      </c>
      <c r="D39" s="31" t="s">
        <v>8</v>
      </c>
      <c r="E39" s="7">
        <v>40</v>
      </c>
      <c r="F39" s="5">
        <f t="shared" si="2"/>
        <v>11.2</v>
      </c>
      <c r="G39" s="1"/>
      <c r="H39" s="1"/>
      <c r="I39" s="1"/>
    </row>
    <row r="40" spans="1:9">
      <c r="A40" s="2"/>
      <c r="B40" s="15"/>
      <c r="C40" s="18"/>
      <c r="D40" s="15"/>
      <c r="E40" s="16"/>
      <c r="F40" s="17"/>
      <c r="G40" s="2"/>
      <c r="H40" s="1"/>
      <c r="I40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A8" sqref="A8"/>
    </sheetView>
  </sheetViews>
  <sheetFormatPr defaultRowHeight="16.5"/>
  <cols>
    <col min="1" max="2" width="5.375" customWidth="1"/>
    <col min="3" max="3" width="16.875" customWidth="1"/>
    <col min="4" max="4" width="16.25" customWidth="1"/>
    <col min="5" max="5" width="7.625" customWidth="1"/>
    <col min="6" max="6" width="8.875" customWidth="1"/>
    <col min="7" max="7" width="18.125" customWidth="1"/>
    <col min="8" max="8" width="0.125" customWidth="1"/>
    <col min="9" max="9" width="9" hidden="1" customWidth="1"/>
  </cols>
  <sheetData>
    <row r="1" spans="1:9" ht="24" customHeight="1">
      <c r="A1" s="35" t="s">
        <v>307</v>
      </c>
      <c r="B1" s="35"/>
      <c r="C1" s="35"/>
      <c r="D1" s="35"/>
      <c r="E1" s="35"/>
      <c r="F1" s="35"/>
      <c r="G1" s="35"/>
      <c r="H1" s="35"/>
      <c r="I1" s="35"/>
    </row>
    <row r="2" spans="1:9" ht="24" customHeight="1">
      <c r="A2" s="13" t="s">
        <v>0</v>
      </c>
      <c r="B2" s="13" t="s">
        <v>3</v>
      </c>
      <c r="C2" s="13" t="s">
        <v>4</v>
      </c>
      <c r="D2" s="13" t="s">
        <v>5</v>
      </c>
      <c r="E2" s="13" t="s">
        <v>17</v>
      </c>
      <c r="F2" s="13" t="s">
        <v>6</v>
      </c>
      <c r="G2" s="13" t="s">
        <v>7</v>
      </c>
      <c r="H2" s="13"/>
      <c r="I2" s="13"/>
    </row>
    <row r="3" spans="1:9">
      <c r="A3" s="3">
        <v>41924</v>
      </c>
      <c r="B3" s="13">
        <v>350</v>
      </c>
      <c r="C3" s="13" t="s">
        <v>212</v>
      </c>
      <c r="D3" s="13" t="s">
        <v>218</v>
      </c>
      <c r="E3" s="7">
        <v>100</v>
      </c>
      <c r="F3" s="5">
        <f>(B3*E3)/1000</f>
        <v>35</v>
      </c>
      <c r="G3" s="1"/>
      <c r="H3" s="1"/>
      <c r="I3" s="1"/>
    </row>
    <row r="4" spans="1:9">
      <c r="A4" s="13" t="s">
        <v>192</v>
      </c>
      <c r="B4" s="13">
        <v>350</v>
      </c>
      <c r="C4" s="13"/>
      <c r="D4" s="13" t="s">
        <v>220</v>
      </c>
      <c r="E4" s="7">
        <v>15</v>
      </c>
      <c r="F4" s="6">
        <f>(B4*E4)/1000</f>
        <v>5.25</v>
      </c>
      <c r="G4" s="1"/>
      <c r="H4" s="1"/>
      <c r="I4" s="1"/>
    </row>
    <row r="5" spans="1:9">
      <c r="A5" s="13" t="s">
        <v>11</v>
      </c>
      <c r="B5" s="13">
        <v>350</v>
      </c>
      <c r="C5" s="13"/>
      <c r="D5" s="13" t="s">
        <v>219</v>
      </c>
      <c r="E5" s="7">
        <v>50</v>
      </c>
      <c r="F5" s="6">
        <f t="shared" ref="F5:F20" si="0">(B5*E5)/1000</f>
        <v>17.5</v>
      </c>
      <c r="G5" s="1"/>
      <c r="H5" s="1"/>
      <c r="I5" s="1"/>
    </row>
    <row r="6" spans="1:9">
      <c r="A6" s="13"/>
      <c r="B6" s="13">
        <v>350</v>
      </c>
      <c r="C6" s="13"/>
      <c r="D6" s="13" t="s">
        <v>228</v>
      </c>
      <c r="E6" s="7">
        <v>10</v>
      </c>
      <c r="F6" s="6">
        <f t="shared" si="0"/>
        <v>3.5</v>
      </c>
      <c r="G6" s="1"/>
      <c r="H6" s="1"/>
      <c r="I6" s="1"/>
    </row>
    <row r="7" spans="1:9">
      <c r="A7" s="1"/>
      <c r="B7" s="13">
        <v>350</v>
      </c>
      <c r="C7" s="13"/>
      <c r="D7" s="13" t="s">
        <v>10</v>
      </c>
      <c r="E7" s="7">
        <v>10</v>
      </c>
      <c r="F7" s="6">
        <f t="shared" si="0"/>
        <v>3.5</v>
      </c>
      <c r="G7" s="1"/>
      <c r="H7" s="1"/>
      <c r="I7" s="1"/>
    </row>
    <row r="8" spans="1:9">
      <c r="A8" s="1"/>
      <c r="B8" s="13">
        <v>350</v>
      </c>
      <c r="C8" s="13"/>
      <c r="D8" s="13" t="s">
        <v>18</v>
      </c>
      <c r="E8" s="7">
        <v>5</v>
      </c>
      <c r="F8" s="6">
        <f t="shared" si="0"/>
        <v>1.75</v>
      </c>
      <c r="G8" s="1"/>
      <c r="H8" s="1"/>
      <c r="I8" s="1"/>
    </row>
    <row r="9" spans="1:9">
      <c r="A9" s="1"/>
      <c r="B9" s="13">
        <v>350</v>
      </c>
      <c r="C9" s="13" t="s">
        <v>213</v>
      </c>
      <c r="D9" s="13" t="s">
        <v>221</v>
      </c>
      <c r="E9" s="7">
        <v>20</v>
      </c>
      <c r="F9" s="6">
        <f t="shared" si="0"/>
        <v>7</v>
      </c>
      <c r="G9" s="1"/>
      <c r="H9" s="1"/>
      <c r="I9" s="1"/>
    </row>
    <row r="10" spans="1:9">
      <c r="A10" s="1"/>
      <c r="B10" s="13">
        <v>350</v>
      </c>
      <c r="C10" s="13"/>
      <c r="D10" s="13" t="s">
        <v>222</v>
      </c>
      <c r="E10" s="7">
        <v>15</v>
      </c>
      <c r="F10" s="6">
        <f t="shared" si="0"/>
        <v>5.25</v>
      </c>
      <c r="G10" s="1"/>
      <c r="H10" s="1"/>
      <c r="I10" s="1"/>
    </row>
    <row r="11" spans="1:9">
      <c r="A11" s="1"/>
      <c r="B11" s="13">
        <v>350</v>
      </c>
      <c r="C11" s="13"/>
      <c r="D11" s="13" t="s">
        <v>231</v>
      </c>
      <c r="E11" s="7">
        <v>25</v>
      </c>
      <c r="F11" s="6">
        <f t="shared" si="0"/>
        <v>8.75</v>
      </c>
      <c r="G11" s="1"/>
      <c r="H11" s="1"/>
      <c r="I11" s="1"/>
    </row>
    <row r="12" spans="1:9">
      <c r="A12" s="1"/>
      <c r="B12" s="13">
        <v>350</v>
      </c>
      <c r="C12" s="13"/>
      <c r="D12" s="13" t="s">
        <v>185</v>
      </c>
      <c r="E12" s="7">
        <v>10</v>
      </c>
      <c r="F12" s="6">
        <f t="shared" si="0"/>
        <v>3.5</v>
      </c>
      <c r="G12" s="1"/>
      <c r="H12" s="1"/>
      <c r="I12" s="1"/>
    </row>
    <row r="13" spans="1:9">
      <c r="A13" s="1"/>
      <c r="B13" s="13">
        <v>350</v>
      </c>
      <c r="C13" s="13"/>
      <c r="D13" s="13" t="s">
        <v>186</v>
      </c>
      <c r="E13" s="7">
        <v>2</v>
      </c>
      <c r="F13" s="6">
        <f t="shared" si="0"/>
        <v>0.7</v>
      </c>
      <c r="G13" s="1"/>
      <c r="H13" s="1"/>
      <c r="I13" s="1"/>
    </row>
    <row r="14" spans="1:9">
      <c r="A14" s="1"/>
      <c r="B14" s="13">
        <v>350</v>
      </c>
      <c r="C14" s="13" t="s">
        <v>214</v>
      </c>
      <c r="D14" s="13" t="s">
        <v>215</v>
      </c>
      <c r="E14" s="7">
        <v>40</v>
      </c>
      <c r="F14" s="6">
        <f t="shared" si="0"/>
        <v>14</v>
      </c>
      <c r="G14" s="1"/>
      <c r="H14" s="1"/>
      <c r="I14" s="1"/>
    </row>
    <row r="15" spans="1:9">
      <c r="A15" s="1"/>
      <c r="B15" s="13">
        <v>350</v>
      </c>
      <c r="C15" s="13"/>
      <c r="D15" s="13" t="s">
        <v>216</v>
      </c>
      <c r="E15" s="7">
        <v>50</v>
      </c>
      <c r="F15" s="6">
        <f t="shared" si="0"/>
        <v>17.5</v>
      </c>
      <c r="G15" s="1"/>
      <c r="H15" s="1"/>
      <c r="I15" s="1"/>
    </row>
    <row r="16" spans="1:9">
      <c r="A16" s="1"/>
      <c r="B16" s="13">
        <v>350</v>
      </c>
      <c r="C16" s="13"/>
      <c r="D16" s="13" t="s">
        <v>217</v>
      </c>
      <c r="E16" s="7">
        <v>20</v>
      </c>
      <c r="F16" s="6">
        <f t="shared" si="0"/>
        <v>7</v>
      </c>
      <c r="G16" s="1"/>
      <c r="H16" s="1"/>
      <c r="I16" s="1"/>
    </row>
    <row r="17" spans="1:9">
      <c r="A17" s="1"/>
      <c r="B17" s="13">
        <v>350</v>
      </c>
      <c r="C17" s="13"/>
      <c r="D17" s="13" t="s">
        <v>185</v>
      </c>
      <c r="E17" s="7">
        <v>20</v>
      </c>
      <c r="F17" s="6">
        <f t="shared" si="0"/>
        <v>7</v>
      </c>
      <c r="G17" s="1"/>
      <c r="H17" s="1"/>
      <c r="I17" s="1"/>
    </row>
    <row r="18" spans="1:9">
      <c r="A18" s="1"/>
      <c r="B18" s="31">
        <v>350</v>
      </c>
      <c r="C18" s="31" t="s">
        <v>310</v>
      </c>
      <c r="D18" s="31" t="s">
        <v>310</v>
      </c>
      <c r="E18" s="7">
        <v>100</v>
      </c>
      <c r="F18" s="6">
        <f t="shared" si="0"/>
        <v>35</v>
      </c>
      <c r="G18" s="1"/>
      <c r="H18" s="1"/>
      <c r="I18" s="1"/>
    </row>
    <row r="19" spans="1:9">
      <c r="A19" s="1"/>
      <c r="B19" s="31">
        <v>350</v>
      </c>
      <c r="C19" s="31"/>
      <c r="D19" s="31" t="s">
        <v>311</v>
      </c>
      <c r="E19" s="7">
        <v>0</v>
      </c>
      <c r="F19" s="6">
        <f t="shared" si="0"/>
        <v>0</v>
      </c>
      <c r="G19" s="1"/>
      <c r="H19" s="1"/>
      <c r="I19" s="1"/>
    </row>
    <row r="20" spans="1:9">
      <c r="A20" s="1"/>
      <c r="B20" s="13">
        <v>350</v>
      </c>
      <c r="C20" s="13" t="s">
        <v>96</v>
      </c>
      <c r="D20" s="13" t="s">
        <v>96</v>
      </c>
      <c r="E20" s="7">
        <v>40</v>
      </c>
      <c r="F20" s="6">
        <f t="shared" si="0"/>
        <v>14</v>
      </c>
      <c r="G20" s="1"/>
      <c r="H20" s="1"/>
      <c r="I20" s="1"/>
    </row>
    <row r="21" spans="1:9">
      <c r="A21" s="2"/>
      <c r="B21" s="2"/>
      <c r="C21" s="2"/>
      <c r="D21" s="2"/>
      <c r="E21" s="2"/>
      <c r="F21" s="2"/>
      <c r="G21" s="2"/>
      <c r="H21" s="1"/>
      <c r="I21" s="1"/>
    </row>
    <row r="22" spans="1:9">
      <c r="A22" s="13"/>
      <c r="B22" s="13"/>
      <c r="C22" s="13"/>
      <c r="D22" s="13"/>
      <c r="E22" s="7"/>
      <c r="F22" s="6"/>
      <c r="G22" s="1"/>
      <c r="H22" s="1"/>
      <c r="I22" s="1"/>
    </row>
    <row r="23" spans="1:9">
      <c r="A23" s="13"/>
      <c r="B23" s="13"/>
      <c r="C23" s="13"/>
      <c r="D23" s="13"/>
      <c r="E23" s="7"/>
      <c r="F23" s="5"/>
      <c r="G23" s="1"/>
      <c r="H23" s="1"/>
      <c r="I23" s="1"/>
    </row>
    <row r="24" spans="1:9">
      <c r="A24" s="1"/>
      <c r="B24" s="13"/>
      <c r="C24" s="13"/>
      <c r="D24" s="13"/>
      <c r="E24" s="7"/>
      <c r="F24" s="5"/>
      <c r="G24" s="1"/>
      <c r="H24" s="1"/>
      <c r="I24" s="1"/>
    </row>
    <row r="25" spans="1:9">
      <c r="A25" s="1"/>
      <c r="B25" s="13"/>
      <c r="C25" s="13"/>
      <c r="D25" s="13"/>
      <c r="E25" s="7"/>
      <c r="F25" s="5"/>
      <c r="G25" s="1"/>
      <c r="H25" s="1"/>
      <c r="I25" s="1"/>
    </row>
    <row r="26" spans="1:9">
      <c r="A26" s="1"/>
      <c r="B26" s="13"/>
      <c r="C26" s="13"/>
      <c r="D26" s="13"/>
      <c r="E26" s="7"/>
      <c r="F26" s="5"/>
      <c r="G26" s="1"/>
      <c r="H26" s="1"/>
      <c r="I26" s="1"/>
    </row>
    <row r="27" spans="1:9">
      <c r="A27" s="1"/>
      <c r="B27" s="13"/>
      <c r="C27" s="13"/>
      <c r="D27" s="13"/>
      <c r="E27" s="7"/>
      <c r="F27" s="5"/>
      <c r="G27" s="1"/>
      <c r="H27" s="1"/>
      <c r="I27" s="1"/>
    </row>
    <row r="28" spans="1:9">
      <c r="A28" s="1"/>
      <c r="B28" s="13"/>
      <c r="C28" s="13"/>
      <c r="D28" s="13"/>
      <c r="E28" s="7"/>
      <c r="F28" s="5"/>
      <c r="G28" s="1"/>
      <c r="H28" s="1"/>
      <c r="I28" s="1"/>
    </row>
    <row r="29" spans="1:9">
      <c r="A29" s="1"/>
      <c r="B29" s="13"/>
      <c r="C29" s="13"/>
      <c r="D29" s="13"/>
      <c r="E29" s="7"/>
      <c r="F29" s="5"/>
      <c r="G29" s="1"/>
      <c r="H29" s="1"/>
      <c r="I29" s="1"/>
    </row>
    <row r="30" spans="1:9">
      <c r="A30" s="1"/>
      <c r="B30" s="13"/>
      <c r="C30" s="13"/>
      <c r="D30" s="13"/>
      <c r="E30" s="7"/>
      <c r="F30" s="6"/>
      <c r="G30" s="1"/>
      <c r="H30" s="1"/>
      <c r="I30" s="1"/>
    </row>
    <row r="31" spans="1:9">
      <c r="A31" s="2"/>
      <c r="B31" s="2"/>
      <c r="C31" s="2"/>
      <c r="D31" s="2"/>
      <c r="E31" s="2"/>
      <c r="F31" s="2"/>
      <c r="G31" s="2"/>
      <c r="H31" s="1"/>
      <c r="I31" s="1"/>
    </row>
    <row r="32" spans="1:9">
      <c r="A32" s="3"/>
      <c r="B32" s="13"/>
      <c r="C32" s="13"/>
      <c r="D32" s="13"/>
      <c r="E32" s="7"/>
      <c r="F32" s="5"/>
      <c r="G32" s="1"/>
      <c r="H32" s="1"/>
      <c r="I32" s="1"/>
    </row>
    <row r="33" spans="1:9">
      <c r="A33" s="13"/>
      <c r="B33" s="13"/>
      <c r="C33" s="13"/>
      <c r="D33" s="13"/>
      <c r="E33" s="7"/>
      <c r="F33" s="5"/>
      <c r="G33" s="1"/>
      <c r="H33" s="1"/>
      <c r="I33" s="1"/>
    </row>
    <row r="34" spans="1:9">
      <c r="A34" s="13"/>
      <c r="B34" s="13"/>
      <c r="C34" s="13"/>
      <c r="D34" s="13"/>
      <c r="E34" s="7"/>
      <c r="F34" s="5"/>
      <c r="G34" s="1"/>
      <c r="H34" s="1"/>
      <c r="I34" s="1"/>
    </row>
    <row r="35" spans="1:9">
      <c r="A35" s="1"/>
      <c r="B35" s="13"/>
      <c r="C35" s="13"/>
      <c r="D35" s="13"/>
      <c r="E35" s="7"/>
      <c r="F35" s="5"/>
      <c r="G35" s="1"/>
      <c r="H35" s="1"/>
      <c r="I35" s="1"/>
    </row>
    <row r="36" spans="1:9">
      <c r="A36" s="1"/>
      <c r="B36" s="13"/>
      <c r="C36" s="13"/>
      <c r="D36" s="13"/>
      <c r="E36" s="7"/>
      <c r="F36" s="5"/>
      <c r="G36" s="1"/>
      <c r="H36" s="1"/>
      <c r="I36" s="1"/>
    </row>
    <row r="37" spans="1:9">
      <c r="A37" s="1"/>
      <c r="B37" s="13"/>
      <c r="C37" s="13"/>
      <c r="D37" s="13"/>
      <c r="E37" s="7"/>
      <c r="F37" s="5"/>
      <c r="G37" s="1"/>
      <c r="H37" s="1"/>
      <c r="I37" s="1"/>
    </row>
    <row r="38" spans="1:9">
      <c r="A38" s="1"/>
      <c r="B38" s="13"/>
      <c r="C38" s="13"/>
      <c r="D38" s="13"/>
      <c r="E38" s="7"/>
      <c r="F38" s="5"/>
      <c r="G38" s="1"/>
      <c r="H38" s="1"/>
      <c r="I38" s="1"/>
    </row>
    <row r="39" spans="1:9">
      <c r="A39" s="1"/>
      <c r="B39" s="13"/>
      <c r="C39" s="13"/>
      <c r="D39" s="13"/>
      <c r="E39" s="7"/>
      <c r="F39" s="5"/>
      <c r="G39" s="1"/>
      <c r="H39" s="1"/>
      <c r="I39" s="1"/>
    </row>
    <row r="40" spans="1:9">
      <c r="A40" s="1"/>
      <c r="B40" s="13"/>
      <c r="C40" s="13"/>
      <c r="D40" s="13"/>
      <c r="E40" s="7"/>
      <c r="F40" s="5"/>
      <c r="G40" s="1"/>
      <c r="H40" s="1"/>
      <c r="I40" s="1"/>
    </row>
    <row r="41" spans="1:9">
      <c r="A41" s="1"/>
      <c r="B41" s="13"/>
      <c r="C41" s="13"/>
      <c r="D41" s="13"/>
      <c r="E41" s="7"/>
      <c r="F41" s="5"/>
      <c r="G41" s="1"/>
      <c r="H41" s="1"/>
      <c r="I41" s="1"/>
    </row>
    <row r="42" spans="1:9">
      <c r="A42" s="1"/>
      <c r="B42" s="13"/>
      <c r="C42" s="13"/>
      <c r="D42" s="13"/>
      <c r="E42" s="7"/>
      <c r="F42" s="5"/>
      <c r="G42" s="1"/>
      <c r="H42" s="1"/>
      <c r="I42" s="1"/>
    </row>
    <row r="43" spans="1:9">
      <c r="A43" s="2"/>
      <c r="B43" s="15"/>
      <c r="C43" s="18"/>
      <c r="D43" s="15"/>
      <c r="E43" s="16"/>
      <c r="F43" s="17"/>
      <c r="G43" s="2"/>
      <c r="H43" s="1"/>
      <c r="I43" s="1"/>
    </row>
  </sheetData>
  <autoFilter ref="A2:G2"/>
  <mergeCells count="1">
    <mergeCell ref="A1:I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2014-10-01T03:53:07Z</dcterms:modified>
</cp:coreProperties>
</file>